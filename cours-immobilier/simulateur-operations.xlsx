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MdB" sheetId="2" state="visible" r:id="rId2"/>
    <sheet name="Locatif" sheetId="3" state="visible" r:id="rId3"/>
    <sheet name="Capacité" sheetId="4" state="visible" r:id="rId4"/>
    <sheet name="Amortiss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 €;(#,##0 €);-"/>
    <numFmt numFmtId="165" formatCode="0.0%;(0.0%);-"/>
    <numFmt numFmtId="166" formatCode="0.0000"/>
    <numFmt numFmtId="167" formatCode="#,##0.00 €;(#,##0.00 €);-"/>
    <numFmt numFmtId="168" formatCode="0.00x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</font>
    <font>
      <name val="Arial"/>
      <b val="1"/>
    </font>
    <font>
      <name val="Arial"/>
      <b val="1"/>
      <color rgb="00FFFFFF"/>
      <sz val="12"/>
    </font>
    <font>
      <name val="Arial"/>
      <color rgb="000000FF"/>
    </font>
    <font>
      <name val="Arial"/>
      <i val="1"/>
      <color rgb="00595959"/>
    </font>
    <font>
      <name val="Arial"/>
      <i val="1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8" fillId="0" borderId="0" pivotButton="0" quotePrefix="0" xfId="0"/>
    <xf numFmtId="0" fontId="4" fillId="2" borderId="0" pivotButton="0" quotePrefix="0" xfId="0"/>
    <xf numFmtId="0" fontId="8" fillId="2" borderId="0" pivotButton="0" quotePrefix="0" xfId="0"/>
    <xf numFmtId="164" fontId="5" fillId="3" borderId="0" pivotButton="0" quotePrefix="0" xfId="0"/>
    <xf numFmtId="0" fontId="6" fillId="0" borderId="0" pivotButton="0" quotePrefix="0" xfId="0"/>
    <xf numFmtId="165" fontId="5" fillId="3" borderId="0" pivotButton="0" quotePrefix="0" xfId="0"/>
    <xf numFmtId="1" fontId="5" fillId="3" borderId="0" pivotButton="0" quotePrefix="0" xfId="0"/>
    <xf numFmtId="164" fontId="2" fillId="0" borderId="0" pivotButton="0" quotePrefix="0" xfId="0"/>
    <xf numFmtId="164" fontId="3" fillId="4" borderId="0" pivotButton="0" quotePrefix="0" xfId="0"/>
    <xf numFmtId="165" fontId="3" fillId="4" borderId="0" pivotButton="0" quotePrefix="0" xfId="0"/>
    <xf numFmtId="49" fontId="3" fillId="4" borderId="0" pivotButton="0" quotePrefix="0" xfId="0"/>
    <xf numFmtId="166" fontId="2" fillId="0" borderId="0" pivotButton="0" quotePrefix="0" xfId="0"/>
    <xf numFmtId="164" fontId="3" fillId="0" borderId="0" pivotButton="0" quotePrefix="0" xfId="0"/>
    <xf numFmtId="165" fontId="8" fillId="0" borderId="0" pivotButton="0" quotePrefix="0" xfId="0"/>
    <xf numFmtId="0" fontId="7" fillId="0" borderId="0" pivotButton="0" quotePrefix="0" xfId="0"/>
    <xf numFmtId="167" fontId="2" fillId="0" borderId="0" pivotButton="0" quotePrefix="0" xfId="0"/>
    <xf numFmtId="165" fontId="2" fillId="0" borderId="0" pivotButton="0" quotePrefix="0" xfId="0"/>
    <xf numFmtId="168" fontId="2" fillId="0" borderId="0" pivotButton="0" quotePrefix="0" xfId="0"/>
    <xf numFmtId="167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Simulateur d'opérations immobilières (support du cours 7 jours)</t>
        </is>
      </c>
    </row>
    <row r="2">
      <c r="A2" s="2" t="inlineStr"/>
    </row>
    <row r="3">
      <c r="A3" s="3" t="inlineStr">
        <is>
          <t>Mode d'emploi</t>
        </is>
      </c>
    </row>
    <row r="4">
      <c r="A4" s="2" t="inlineStr">
        <is>
          <t>• Cellules sur fond JAUNE, texte BLEU : hypothèses à saisir. Tout le reste est calculé par formules.</t>
        </is>
      </c>
    </row>
    <row r="5">
      <c r="A5" s="2" t="inlineStr">
        <is>
          <t>• Les valeurs pré-remplies reprennent les exemples du cours (jours 3, 4 et 6) : tu peux vérifier tes résultats.</t>
        </is>
      </c>
    </row>
    <row r="6">
      <c r="A6" s="2" t="inlineStr">
        <is>
          <t>• Onglet MdB : bilan d'achat-revente, prix d'achat maximum à rebours, matrice de sensibilité.</t>
        </is>
      </c>
    </row>
    <row r="7">
      <c r="A7" s="2" t="inlineStr">
        <is>
          <t>• Onglet Locatif : rendements, cash-flow, DSCR, comparaison fiscale nu réel / LMNP réel / micro-BIC (année de croisière).</t>
        </is>
      </c>
    </row>
    <row r="8">
      <c r="A8" s="2" t="inlineStr">
        <is>
          <t>• Onglet Capacité : capacité d'emprunt selon les règles HCSF (35 %, loyers pondérés).</t>
        </is>
      </c>
    </row>
    <row r="9">
      <c r="A9" s="2" t="inlineStr">
        <is>
          <t>• Onglet Amortissement : tableau d'amortissement mensuel d'un prêt (jusqu'à 30 ans).</t>
        </is>
      </c>
    </row>
    <row r="10">
      <c r="A10" s="2" t="inlineStr"/>
    </row>
    <row r="11">
      <c r="A11" s="3" t="inlineStr">
        <is>
          <t>Avertissement</t>
        </is>
      </c>
    </row>
    <row r="12">
      <c r="A12" s="4" t="inlineStr">
        <is>
          <t>Outil pédagogique simplifié : taux et règles fiscales à jour en septembre 2026, à vérifier chaque année (loi de finances). Ne remplace pas l'avis d'un notaire ou d'un expert-comptable.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6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Bilan d'opération marchand de biens</t>
        </is>
      </c>
      <c r="B1" s="5" t="n"/>
      <c r="C1" s="5" t="n"/>
      <c r="D1" s="5" t="n"/>
      <c r="E1" s="5" t="n"/>
      <c r="F1" s="5" t="n"/>
    </row>
    <row r="2">
      <c r="A2" s="5" t="n"/>
      <c r="B2" s="5" t="n"/>
      <c r="C2" s="5" t="n"/>
      <c r="D2" s="5" t="n"/>
      <c r="E2" s="5" t="n"/>
      <c r="F2" s="5" t="n"/>
    </row>
    <row r="3">
      <c r="A3" s="6" t="inlineStr">
        <is>
          <t>Hypothèses</t>
        </is>
      </c>
      <c r="B3" s="7" t="n"/>
      <c r="C3" s="7" t="n"/>
      <c r="D3" s="5" t="n"/>
      <c r="E3" s="5" t="n"/>
      <c r="F3" s="5" t="n"/>
    </row>
    <row r="4">
      <c r="A4" s="2" t="inlineStr">
        <is>
          <t>Prix de vente estimé (TTC)</t>
        </is>
      </c>
      <c r="B4" s="8" t="n">
        <v>360000</v>
      </c>
      <c r="C4" s="9" t="inlineStr">
        <is>
          <t>Source : DVF des biens rénovés, 3 comparables</t>
        </is>
      </c>
      <c r="D4" s="5" t="n"/>
      <c r="E4" s="5" t="n"/>
      <c r="F4" s="5" t="n"/>
    </row>
    <row r="5">
      <c r="A5" s="2" t="inlineStr">
        <is>
          <t>Prix d'achat</t>
        </is>
      </c>
      <c r="B5" s="8" t="n">
        <v>200000</v>
      </c>
      <c r="C5" s="9" t="inlineStr">
        <is>
          <t>Prix négocié</t>
        </is>
      </c>
      <c r="D5" s="5" t="n"/>
      <c r="E5" s="5" t="n"/>
      <c r="F5" s="5" t="n"/>
    </row>
    <row r="6">
      <c r="A6" s="2" t="inlineStr">
        <is>
          <t>Frais d'acquisition (% du prix)</t>
        </is>
      </c>
      <c r="B6" s="10" t="n">
        <v>0.0225</v>
      </c>
      <c r="C6" s="9" t="inlineStr">
        <is>
          <t>Engagement de revendre art. 1115 : ≈ 2,25 % tout compris</t>
        </is>
      </c>
      <c r="D6" s="5" t="n"/>
      <c r="E6" s="5" t="n"/>
      <c r="F6" s="5" t="n"/>
    </row>
    <row r="7">
      <c r="A7" s="2" t="inlineStr">
        <is>
          <t>Travaux (TTC si exonéré, HT si option TVA)</t>
        </is>
      </c>
      <c r="B7" s="8" t="n">
        <v>72000</v>
      </c>
      <c r="C7" s="9" t="inlineStr">
        <is>
          <t>Devis + aléas 10-15 %</t>
        </is>
      </c>
      <c r="D7" s="5" t="n"/>
      <c r="E7" s="5" t="n"/>
      <c r="F7" s="5" t="n"/>
    </row>
    <row r="8">
      <c r="A8" s="2" t="inlineStr">
        <is>
          <t>Honoraires techniques</t>
        </is>
      </c>
      <c r="B8" s="8" t="n">
        <v>3600</v>
      </c>
      <c r="C8" s="9" t="inlineStr">
        <is>
          <t>Architecte, diagnostics, géomètre</t>
        </is>
      </c>
      <c r="D8" s="5" t="n"/>
      <c r="E8" s="5" t="n"/>
      <c r="F8" s="5" t="n"/>
    </row>
    <row r="9">
      <c r="A9" s="2" t="inlineStr">
        <is>
          <t>Quotité financée (% achat + travaux)</t>
        </is>
      </c>
      <c r="B9" s="10" t="n">
        <v>0.8</v>
      </c>
      <c r="C9" s="9" t="inlineStr">
        <is>
          <t>Prêt MdB in fine</t>
        </is>
      </c>
      <c r="D9" s="5" t="n"/>
      <c r="E9" s="5" t="n"/>
      <c r="F9" s="5" t="n"/>
    </row>
    <row r="10">
      <c r="A10" s="2" t="inlineStr">
        <is>
          <t>Taux du crédit (annuel)</t>
        </is>
      </c>
      <c r="B10" s="10" t="n">
        <v>0.05</v>
      </c>
      <c r="C10" s="9" t="inlineStr">
        <is>
          <t>Offre de principe bancaire</t>
        </is>
      </c>
      <c r="D10" s="5" t="n"/>
      <c r="E10" s="5" t="n"/>
      <c r="F10" s="5" t="n"/>
    </row>
    <row r="11">
      <c r="A11" s="2" t="inlineStr">
        <is>
          <t>Durée de portage (mois)</t>
        </is>
      </c>
      <c r="B11" s="11" t="n">
        <v>9</v>
      </c>
      <c r="C11" s="9" t="inlineStr">
        <is>
          <t>Acte → vente</t>
        </is>
      </c>
      <c r="D11" s="5" t="n"/>
      <c r="E11" s="5" t="n"/>
      <c r="F11" s="5" t="n"/>
    </row>
    <row r="12">
      <c r="A12" s="2" t="inlineStr">
        <is>
          <t>Frais de dossier (% du prêt)</t>
        </is>
      </c>
      <c r="B12" s="10" t="n">
        <v>0.01</v>
      </c>
      <c r="C12" s="5" t="n"/>
      <c r="D12" s="5" t="n"/>
      <c r="E12" s="5" t="n"/>
      <c r="F12" s="5" t="n"/>
    </row>
    <row r="13">
      <c r="A13" s="2" t="inlineStr">
        <is>
          <t>Garantie bancaire</t>
        </is>
      </c>
      <c r="B13" s="8" t="n">
        <v>2500</v>
      </c>
      <c r="C13" s="9" t="inlineStr">
        <is>
          <t>Hypothèque / HLSPD</t>
        </is>
      </c>
      <c r="D13" s="5" t="n"/>
      <c r="E13" s="5" t="n"/>
      <c r="F13" s="5" t="n"/>
    </row>
    <row r="14">
      <c r="A14" s="2" t="inlineStr">
        <is>
          <t>Portage (TF, charges, assurance, énergie)</t>
        </is>
      </c>
      <c r="B14" s="8" t="n">
        <v>2000</v>
      </c>
      <c r="C14" s="9" t="inlineStr">
        <is>
          <t>Sur toute la durée</t>
        </is>
      </c>
      <c r="D14" s="5" t="n"/>
      <c r="E14" s="5" t="n"/>
      <c r="F14" s="5" t="n"/>
    </row>
    <row r="15">
      <c r="A15" s="2" t="inlineStr">
        <is>
          <t>Frais d'agence à la revente (% du prix)</t>
        </is>
      </c>
      <c r="B15" s="10" t="n">
        <v>0.04</v>
      </c>
      <c r="C15" s="5" t="n"/>
      <c r="D15" s="5" t="n"/>
      <c r="E15" s="5" t="n"/>
      <c r="F15" s="5" t="n"/>
    </row>
    <row r="16">
      <c r="A16" s="2" t="inlineStr">
        <is>
          <t>Option TVA sur marge (1 = oui, 0 = non)</t>
        </is>
      </c>
      <c r="B16" s="11" t="n">
        <v>0</v>
      </c>
      <c r="C16" s="9" t="inlineStr">
        <is>
          <t>Par défaut : bien ancien exonéré (0)</t>
        </is>
      </c>
      <c r="D16" s="5" t="n"/>
      <c r="E16" s="5" t="n"/>
      <c r="F16" s="5" t="n"/>
    </row>
    <row r="17">
      <c r="A17" s="2" t="inlineStr">
        <is>
          <t>Marge nette cible (% du prix de vente)</t>
        </is>
      </c>
      <c r="B17" s="10" t="n">
        <v>0.15</v>
      </c>
      <c r="C17" s="9" t="inlineStr">
        <is>
          <t>Critère de décision</t>
        </is>
      </c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6" t="inlineStr">
        <is>
          <t>Bilan</t>
        </is>
      </c>
      <c r="B19" s="7" t="n"/>
      <c r="C19" s="7" t="n"/>
      <c r="D19" s="5" t="n"/>
      <c r="E19" s="5" t="n"/>
      <c r="F19" s="5" t="n"/>
    </row>
    <row r="20">
      <c r="A20" s="2" t="inlineStr">
        <is>
          <t>Montant du prêt</t>
        </is>
      </c>
      <c r="B20" s="12">
        <f>B9*(B5+B7)</f>
        <v/>
      </c>
      <c r="C20" s="5" t="n"/>
      <c r="D20" s="5" t="n"/>
      <c r="E20" s="5" t="n"/>
      <c r="F20" s="5" t="n"/>
    </row>
    <row r="21">
      <c r="A21" s="2" t="inlineStr">
        <is>
          <t>Frais d'acquisition</t>
        </is>
      </c>
      <c r="B21" s="12">
        <f>B5*B6</f>
        <v/>
      </c>
      <c r="C21" s="5" t="n"/>
      <c r="D21" s="5" t="n"/>
      <c r="E21" s="5" t="n"/>
      <c r="F21" s="5" t="n"/>
    </row>
    <row r="22">
      <c r="A22" s="2" t="inlineStr">
        <is>
          <t>Intérêts intercalaires</t>
        </is>
      </c>
      <c r="B22" s="12">
        <f>B20*B10*B11/12</f>
        <v/>
      </c>
      <c r="C22" s="9" t="inlineStr">
        <is>
          <t>In fine, capital débloqué dès le début (prudent)</t>
        </is>
      </c>
      <c r="D22" s="5" t="n"/>
      <c r="E22" s="5" t="n"/>
      <c r="F22" s="5" t="n"/>
    </row>
    <row r="23">
      <c r="A23" s="2" t="inlineStr">
        <is>
          <t>Frais de dossier</t>
        </is>
      </c>
      <c r="B23" s="12">
        <f>B20*B12</f>
        <v/>
      </c>
      <c r="C23" s="5" t="n"/>
      <c r="D23" s="5" t="n"/>
      <c r="E23" s="5" t="n"/>
      <c r="F23" s="5" t="n"/>
    </row>
    <row r="24">
      <c r="A24" s="3" t="inlineStr">
        <is>
          <t>PRIX DE REVIENT</t>
        </is>
      </c>
      <c r="B24" s="13">
        <f>B5+B21+B7+B8+B22+B23+B13+B14</f>
        <v/>
      </c>
      <c r="C24" s="5" t="n"/>
      <c r="D24" s="5" t="n"/>
      <c r="E24" s="5" t="n"/>
      <c r="F24" s="5" t="n"/>
    </row>
    <row r="25">
      <c r="A25" s="2" t="inlineStr">
        <is>
          <t>TVA sur marge collectée</t>
        </is>
      </c>
      <c r="B25" s="12">
        <f>IF(B16=1,(B4-B5)*20/120,0)</f>
        <v/>
      </c>
      <c r="C25" s="9" t="inlineStr">
        <is>
          <t>(Prix de vente − prix d'achat) × 20/120</t>
        </is>
      </c>
      <c r="D25" s="5" t="n"/>
      <c r="E25" s="5" t="n"/>
      <c r="F25" s="5" t="n"/>
    </row>
    <row r="26">
      <c r="A26" s="2" t="inlineStr">
        <is>
          <t>Chiffre d'affaires net de TVA</t>
        </is>
      </c>
      <c r="B26" s="12">
        <f>B4-B25</f>
        <v/>
      </c>
      <c r="C26" s="5" t="n"/>
      <c r="D26" s="5" t="n"/>
      <c r="E26" s="5" t="n"/>
      <c r="F26" s="5" t="n"/>
    </row>
    <row r="27">
      <c r="A27" s="2" t="inlineStr">
        <is>
          <t>Frais d'agence</t>
        </is>
      </c>
      <c r="B27" s="12">
        <f>IF(B16=1,B4*B15/1.2,B4*B15)</f>
        <v/>
      </c>
      <c r="C27" s="9" t="inlineStr">
        <is>
          <t>HT si option (TVA récupérable)</t>
        </is>
      </c>
      <c r="D27" s="5" t="n"/>
      <c r="E27" s="5" t="n"/>
      <c r="F27" s="5" t="n"/>
    </row>
    <row r="28">
      <c r="A28" s="3" t="inlineStr">
        <is>
          <t>MARGE NETTE AVANT IS</t>
        </is>
      </c>
      <c r="B28" s="13">
        <f>B26-B24-B27</f>
        <v/>
      </c>
      <c r="C28" s="5" t="n"/>
      <c r="D28" s="5" t="n"/>
      <c r="E28" s="5" t="n"/>
      <c r="F28" s="5" t="n"/>
    </row>
    <row r="29">
      <c r="A29" s="3" t="inlineStr">
        <is>
          <t>Marge en % du prix de vente</t>
        </is>
      </c>
      <c r="B29" s="14">
        <f>IF(B4=0,0,B28/B4)</f>
        <v/>
      </c>
      <c r="C29" s="9" t="inlineStr">
        <is>
          <t>Objectif ≥ 15 %</t>
        </is>
      </c>
      <c r="D29" s="5" t="n"/>
      <c r="E29" s="5" t="n"/>
      <c r="F29" s="5" t="n"/>
    </row>
    <row r="30">
      <c r="A30" s="2" t="inlineStr">
        <is>
          <t>IS (15 % jusqu'à 42 500 €, 25 % au-delà)</t>
        </is>
      </c>
      <c r="B30" s="12">
        <f>IF(B28&lt;=0,0,MIN(B28,42500)*0.15+MAX(0,B28-42500)*0.25)</f>
        <v/>
      </c>
      <c r="C30" s="9" t="inlineStr">
        <is>
          <t>Taux réduit PME sous conditions</t>
        </is>
      </c>
      <c r="D30" s="5" t="n"/>
      <c r="E30" s="5" t="n"/>
      <c r="F30" s="5" t="n"/>
    </row>
    <row r="31">
      <c r="A31" s="3" t="inlineStr">
        <is>
          <t>RÉSULTAT NET</t>
        </is>
      </c>
      <c r="B31" s="13">
        <f>B28-B30</f>
        <v/>
      </c>
      <c r="C31" s="5" t="n"/>
      <c r="D31" s="5" t="n"/>
      <c r="E31" s="5" t="n"/>
      <c r="F31" s="5" t="n"/>
    </row>
    <row r="32">
      <c r="A32" s="2" t="inlineStr">
        <is>
          <t>Fonds propres nécessaires</t>
        </is>
      </c>
      <c r="B32" s="12">
        <f>B24-B20</f>
        <v/>
      </c>
      <c r="C32" s="9" t="inlineStr">
        <is>
          <t>Prix de revient − prêt</t>
        </is>
      </c>
      <c r="D32" s="5" t="n"/>
      <c r="E32" s="5" t="n"/>
      <c r="F32" s="5" t="n"/>
    </row>
    <row r="33">
      <c r="A33" s="3" t="inlineStr">
        <is>
          <t>Rentabilité des fonds propres</t>
        </is>
      </c>
      <c r="B33" s="14">
        <f>IF(B32&lt;=0,0,B31/B32)</f>
        <v/>
      </c>
      <c r="C33" s="9" t="inlineStr">
        <is>
          <t>Objectif ≥ 30 %</t>
        </is>
      </c>
      <c r="D33" s="5" t="n"/>
      <c r="E33" s="5" t="n"/>
      <c r="F33" s="5" t="n"/>
    </row>
    <row r="34">
      <c r="A34" s="3" t="inlineStr">
        <is>
          <t>DÉCISION</t>
        </is>
      </c>
      <c r="B34" s="15">
        <f>IF(B29&gt;=B17,"GO : marge ≥ cible","NO GO : renégocier le prix d'achat")</f>
        <v/>
      </c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6" t="inlineStr">
        <is>
          <t>Compte à rebours (sans option TVA)</t>
        </is>
      </c>
      <c r="B36" s="7" t="n"/>
      <c r="C36" s="7" t="n"/>
      <c r="D36" s="5" t="n"/>
      <c r="E36" s="5" t="n"/>
      <c r="F36" s="5" t="n"/>
    </row>
    <row r="37">
      <c r="A37" s="2" t="inlineStr">
        <is>
          <t>Coefficient frais financiers k</t>
        </is>
      </c>
      <c r="B37" s="16">
        <f>B10*B11/12+B12</f>
        <v/>
      </c>
      <c r="C37" s="9" t="inlineStr">
        <is>
          <t>Intérêts + dossier par € prêté</t>
        </is>
      </c>
      <c r="D37" s="5" t="n"/>
      <c r="E37" s="5" t="n"/>
      <c r="F37" s="5" t="n"/>
    </row>
    <row r="38">
      <c r="A38" s="3" t="inlineStr">
        <is>
          <t>PRIX D'ACHAT MAXIMUM</t>
        </is>
      </c>
      <c r="B38" s="13">
        <f>(B4*(1-B15)-B17*B4-B7-B8-B13-B14-B9*B7*B37)/(1+B6+B9*B37)</f>
        <v/>
      </c>
      <c r="C38" s="9" t="inlineStr">
        <is>
          <t>Prix pour atteindre exactement la marge cible</t>
        </is>
      </c>
      <c r="D38" s="5" t="n"/>
      <c r="E38" s="5" t="n"/>
      <c r="F38" s="5" t="n"/>
    </row>
    <row r="39">
      <c r="A39" s="2" t="inlineStr">
        <is>
          <t>Offre conseillée (−5 à −8 %)</t>
        </is>
      </c>
      <c r="B39" s="12">
        <f>B38*0.93</f>
        <v/>
      </c>
      <c r="C39" s="9" t="inlineStr">
        <is>
          <t>Garde une marge de négociation</t>
        </is>
      </c>
      <c r="D39" s="5" t="n"/>
      <c r="E39" s="5" t="n"/>
      <c r="F39" s="5" t="n"/>
    </row>
    <row r="40">
      <c r="A40" s="5" t="n"/>
      <c r="B40" s="5" t="n"/>
      <c r="C40" s="5" t="n"/>
      <c r="D40" s="5" t="n"/>
      <c r="E40" s="5" t="n"/>
      <c r="F40" s="5" t="n"/>
    </row>
    <row r="41">
      <c r="A41" s="6" t="inlineStr">
        <is>
          <t>Sensibilité : marge % selon prix d'achat (lignes) et prix de vente (colonnes), sans option TVA</t>
        </is>
      </c>
      <c r="B41" s="7" t="n"/>
      <c r="C41" s="7" t="n"/>
      <c r="D41" s="5" t="n"/>
      <c r="E41" s="5" t="n"/>
      <c r="F41" s="5" t="n"/>
    </row>
    <row r="42">
      <c r="A42" s="5" t="n"/>
      <c r="B42" s="17">
        <f>$B$4*0.9</f>
        <v/>
      </c>
      <c r="C42" s="17">
        <f>$B$4*0.95</f>
        <v/>
      </c>
      <c r="D42" s="17">
        <f>$B$4*1</f>
        <v/>
      </c>
      <c r="E42" s="17">
        <f>$B$4*1.05</f>
        <v/>
      </c>
      <c r="F42" s="17">
        <f>$B$4*1.1</f>
        <v/>
      </c>
    </row>
    <row r="43">
      <c r="A43" s="17">
        <f>$B$5*0.9</f>
        <v/>
      </c>
      <c r="B43" s="18">
        <f>IF(B$42=0,0,(B$42*(1-$B$15)-($A43*(1+$B$6)+$B$7+$B$8+$B$13+$B$14+$B$9*($A43+$B$7)*$B$37))/B$42)</f>
        <v/>
      </c>
      <c r="C43" s="18">
        <f>IF(C$42=0,0,(C$42*(1-$B$15)-($A43*(1+$B$6)+$B$7+$B$8+$B$13+$B$14+$B$9*($A43+$B$7)*$B$37))/C$42)</f>
        <v/>
      </c>
      <c r="D43" s="18">
        <f>IF(D$42=0,0,(D$42*(1-$B$15)-($A43*(1+$B$6)+$B$7+$B$8+$B$13+$B$14+$B$9*($A43+$B$7)*$B$37))/D$42)</f>
        <v/>
      </c>
      <c r="E43" s="18">
        <f>IF(E$42=0,0,(E$42*(1-$B$15)-($A43*(1+$B$6)+$B$7+$B$8+$B$13+$B$14+$B$9*($A43+$B$7)*$B$37))/E$42)</f>
        <v/>
      </c>
      <c r="F43" s="18">
        <f>IF(F$42=0,0,(F$42*(1-$B$15)-($A43*(1+$B$6)+$B$7+$B$8+$B$13+$B$14+$B$9*($A43+$B$7)*$B$37))/F$42)</f>
        <v/>
      </c>
    </row>
    <row r="44">
      <c r="A44" s="17">
        <f>$B$5*0.95</f>
        <v/>
      </c>
      <c r="B44" s="18">
        <f>IF(B$42=0,0,(B$42*(1-$B$15)-($A44*(1+$B$6)+$B$7+$B$8+$B$13+$B$14+$B$9*($A44+$B$7)*$B$37))/B$42)</f>
        <v/>
      </c>
      <c r="C44" s="18">
        <f>IF(C$42=0,0,(C$42*(1-$B$15)-($A44*(1+$B$6)+$B$7+$B$8+$B$13+$B$14+$B$9*($A44+$B$7)*$B$37))/C$42)</f>
        <v/>
      </c>
      <c r="D44" s="18">
        <f>IF(D$42=0,0,(D$42*(1-$B$15)-($A44*(1+$B$6)+$B$7+$B$8+$B$13+$B$14+$B$9*($A44+$B$7)*$B$37))/D$42)</f>
        <v/>
      </c>
      <c r="E44" s="18">
        <f>IF(E$42=0,0,(E$42*(1-$B$15)-($A44*(1+$B$6)+$B$7+$B$8+$B$13+$B$14+$B$9*($A44+$B$7)*$B$37))/E$42)</f>
        <v/>
      </c>
      <c r="F44" s="18">
        <f>IF(F$42=0,0,(F$42*(1-$B$15)-($A44*(1+$B$6)+$B$7+$B$8+$B$13+$B$14+$B$9*($A44+$B$7)*$B$37))/F$42)</f>
        <v/>
      </c>
    </row>
    <row r="45">
      <c r="A45" s="17">
        <f>$B$5*1</f>
        <v/>
      </c>
      <c r="B45" s="18">
        <f>IF(B$42=0,0,(B$42*(1-$B$15)-($A45*(1+$B$6)+$B$7+$B$8+$B$13+$B$14+$B$9*($A45+$B$7)*$B$37))/B$42)</f>
        <v/>
      </c>
      <c r="C45" s="18">
        <f>IF(C$42=0,0,(C$42*(1-$B$15)-($A45*(1+$B$6)+$B$7+$B$8+$B$13+$B$14+$B$9*($A45+$B$7)*$B$37))/C$42)</f>
        <v/>
      </c>
      <c r="D45" s="18">
        <f>IF(D$42=0,0,(D$42*(1-$B$15)-($A45*(1+$B$6)+$B$7+$B$8+$B$13+$B$14+$B$9*($A45+$B$7)*$B$37))/D$42)</f>
        <v/>
      </c>
      <c r="E45" s="18">
        <f>IF(E$42=0,0,(E$42*(1-$B$15)-($A45*(1+$B$6)+$B$7+$B$8+$B$13+$B$14+$B$9*($A45+$B$7)*$B$37))/E$42)</f>
        <v/>
      </c>
      <c r="F45" s="18">
        <f>IF(F$42=0,0,(F$42*(1-$B$15)-($A45*(1+$B$6)+$B$7+$B$8+$B$13+$B$14+$B$9*($A45+$B$7)*$B$37))/F$42)</f>
        <v/>
      </c>
    </row>
    <row r="46">
      <c r="A46" s="17">
        <f>$B$5*1.05</f>
        <v/>
      </c>
      <c r="B46" s="18">
        <f>IF(B$42=0,0,(B$42*(1-$B$15)-($A46*(1+$B$6)+$B$7+$B$8+$B$13+$B$14+$B$9*($A46+$B$7)*$B$37))/B$42)</f>
        <v/>
      </c>
      <c r="C46" s="18">
        <f>IF(C$42=0,0,(C$42*(1-$B$15)-($A46*(1+$B$6)+$B$7+$B$8+$B$13+$B$14+$B$9*($A46+$B$7)*$B$37))/C$42)</f>
        <v/>
      </c>
      <c r="D46" s="18">
        <f>IF(D$42=0,0,(D$42*(1-$B$15)-($A46*(1+$B$6)+$B$7+$B$8+$B$13+$B$14+$B$9*($A46+$B$7)*$B$37))/D$42)</f>
        <v/>
      </c>
      <c r="E46" s="18">
        <f>IF(E$42=0,0,(E$42*(1-$B$15)-($A46*(1+$B$6)+$B$7+$B$8+$B$13+$B$14+$B$9*($A46+$B$7)*$B$37))/E$42)</f>
        <v/>
      </c>
      <c r="F46" s="18">
        <f>IF(F$42=0,0,(F$42*(1-$B$15)-($A46*(1+$B$6)+$B$7+$B$8+$B$13+$B$14+$B$9*($A46+$B$7)*$B$37))/F$42)</f>
        <v/>
      </c>
    </row>
    <row r="47">
      <c r="A47" s="17">
        <f>$B$5*1.1</f>
        <v/>
      </c>
      <c r="B47" s="18">
        <f>IF(B$42=0,0,(B$42*(1-$B$15)-($A47*(1+$B$6)+$B$7+$B$8+$B$13+$B$14+$B$9*($A47+$B$7)*$B$37))/B$42)</f>
        <v/>
      </c>
      <c r="C47" s="18">
        <f>IF(C$42=0,0,(C$42*(1-$B$15)-($A47*(1+$B$6)+$B$7+$B$8+$B$13+$B$14+$B$9*($A47+$B$7)*$B$37))/C$42)</f>
        <v/>
      </c>
      <c r="D47" s="18">
        <f>IF(D$42=0,0,(D$42*(1-$B$15)-($A47*(1+$B$6)+$B$7+$B$8+$B$13+$B$14+$B$9*($A47+$B$7)*$B$37))/D$42)</f>
        <v/>
      </c>
      <c r="E47" s="18">
        <f>IF(E$42=0,0,(E$42*(1-$B$15)-($A47*(1+$B$6)+$B$7+$B$8+$B$13+$B$14+$B$9*($A47+$B$7)*$B$37))/E$42)</f>
        <v/>
      </c>
      <c r="F47" s="18">
        <f>IF(F$42=0,0,(F$42*(1-$B$15)-($A47*(1+$B$6)+$B$7+$B$8+$B$13+$B$14+$B$9*($A47+$B$7)*$B$37))/F$42)</f>
        <v/>
      </c>
    </row>
    <row r="48">
      <c r="A48" s="19" t="inlineStr">
        <is>
          <t>Lecture : ≥ 15 % = zone GO. Les prix sont exprimés à ±5 % et ±10 % des hypothèses.</t>
        </is>
      </c>
      <c r="B48" s="5" t="n"/>
      <c r="C48" s="5" t="n"/>
      <c r="D48" s="5" t="n"/>
      <c r="E48" s="5" t="n"/>
      <c r="F48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60" customWidth="1" min="3" max="3"/>
  </cols>
  <sheetData>
    <row r="1">
      <c r="A1" s="1" t="inlineStr">
        <is>
          <t>Investissement locatif : rendement, cash-flow et fiscalité (année de croisière)</t>
        </is>
      </c>
      <c r="B1" s="5" t="n"/>
      <c r="C1" s="5" t="n"/>
    </row>
    <row r="2">
      <c r="A2" s="5" t="n"/>
      <c r="B2" s="5" t="n"/>
      <c r="C2" s="5" t="n"/>
    </row>
    <row r="3">
      <c r="A3" s="6" t="inlineStr">
        <is>
          <t>Hypothèses</t>
        </is>
      </c>
      <c r="B3" s="7" t="n"/>
      <c r="C3" s="7" t="n"/>
    </row>
    <row r="4">
      <c r="A4" s="2" t="inlineStr">
        <is>
          <t>Prix d'achat</t>
        </is>
      </c>
      <c r="B4" s="8" t="n">
        <v>300000</v>
      </c>
      <c r="C4" s="5" t="n"/>
    </row>
    <row r="5">
      <c r="A5" s="2" t="inlineStr">
        <is>
          <t>Frais de notaire</t>
        </is>
      </c>
      <c r="B5" s="8" t="n">
        <v>24000</v>
      </c>
      <c r="C5" s="9" t="inlineStr">
        <is>
          <t>≈ 8 % dans l'ancien</t>
        </is>
      </c>
    </row>
    <row r="6">
      <c r="A6" s="2" t="inlineStr">
        <is>
          <t>Travaux</t>
        </is>
      </c>
      <c r="B6" s="8" t="n">
        <v>60000</v>
      </c>
      <c r="C6" s="5" t="n"/>
    </row>
    <row r="7">
      <c r="A7" s="2" t="inlineStr">
        <is>
          <t>Mobilier (meublé)</t>
        </is>
      </c>
      <c r="B7" s="8" t="n">
        <v>10000</v>
      </c>
      <c r="C7" s="9" t="inlineStr">
        <is>
          <t>Mettre 0 en location nue</t>
        </is>
      </c>
    </row>
    <row r="8">
      <c r="A8" s="2" t="inlineStr">
        <is>
          <t>Apport</t>
        </is>
      </c>
      <c r="B8" s="8" t="n">
        <v>24000</v>
      </c>
      <c r="C8" s="5" t="n"/>
    </row>
    <row r="9">
      <c r="A9" s="2" t="inlineStr">
        <is>
          <t>Taux du crédit</t>
        </is>
      </c>
      <c r="B9" s="10" t="n">
        <v>0.036</v>
      </c>
      <c r="C9" s="9" t="inlineStr">
        <is>
          <t>Hypothèse cours</t>
        </is>
      </c>
    </row>
    <row r="10">
      <c r="A10" s="2" t="inlineStr">
        <is>
          <t>Durée (années)</t>
        </is>
      </c>
      <c r="B10" s="11" t="n">
        <v>25</v>
      </c>
      <c r="C10" s="9" t="inlineStr">
        <is>
          <t>HCSF : 25 ans max</t>
        </is>
      </c>
    </row>
    <row r="11">
      <c r="A11" s="2" t="inlineStr">
        <is>
          <t>Assurance emprunteur (% du capital / an)</t>
        </is>
      </c>
      <c r="B11" s="10" t="n">
        <v>0.003</v>
      </c>
      <c r="C11" s="5" t="n"/>
    </row>
    <row r="12">
      <c r="A12" s="2" t="inlineStr">
        <is>
          <t>Loyer mensuel hors charges</t>
        </is>
      </c>
      <c r="B12" s="8" t="n">
        <v>3160</v>
      </c>
      <c r="C12" s="9" t="inlineStr">
        <is>
          <t>Exemple : 4 × 790 € meublé</t>
        </is>
      </c>
    </row>
    <row r="13">
      <c r="A13" s="2" t="inlineStr">
        <is>
          <t>Mois de vacance par an</t>
        </is>
      </c>
      <c r="B13" s="11" t="n">
        <v>1</v>
      </c>
      <c r="C13" s="5" t="n"/>
    </row>
    <row r="14">
      <c r="A14" s="2" t="inlineStr">
        <is>
          <t>Gestion (% des loyers encaissés)</t>
        </is>
      </c>
      <c r="B14" s="10" t="n">
        <v>0.07000000000000001</v>
      </c>
      <c r="C14" s="9" t="inlineStr">
        <is>
          <t>0 en autogestion</t>
        </is>
      </c>
    </row>
    <row r="15">
      <c r="A15" s="2" t="inlineStr">
        <is>
          <t>Taxe foncière</t>
        </is>
      </c>
      <c r="B15" s="8" t="n">
        <v>3000</v>
      </c>
      <c r="C15" s="5" t="n"/>
    </row>
    <row r="16">
      <c r="A16" s="2" t="inlineStr">
        <is>
          <t>Assurance PNO</t>
        </is>
      </c>
      <c r="B16" s="8" t="n">
        <v>600</v>
      </c>
      <c r="C16" s="5" t="n"/>
    </row>
    <row r="17">
      <c r="A17" s="2" t="inlineStr">
        <is>
          <t>Entretien / copropriété non récupérable</t>
        </is>
      </c>
      <c r="B17" s="8" t="n">
        <v>1000</v>
      </c>
      <c r="C17" s="5" t="n"/>
    </row>
    <row r="18">
      <c r="A18" s="2" t="inlineStr">
        <is>
          <t>Expert-comptable</t>
        </is>
      </c>
      <c r="B18" s="8" t="n">
        <v>600</v>
      </c>
      <c r="C18" s="9" t="inlineStr">
        <is>
          <t>LMNP réel</t>
        </is>
      </c>
    </row>
    <row r="19">
      <c r="A19" s="2" t="inlineStr">
        <is>
          <t>TMI</t>
        </is>
      </c>
      <c r="B19" s="10" t="n">
        <v>0.3</v>
      </c>
      <c r="C19" s="9" t="inlineStr">
        <is>
          <t>Tranche marginale d'imposition</t>
        </is>
      </c>
    </row>
    <row r="20">
      <c r="A20" s="2" t="inlineStr">
        <is>
          <t>Prélèvements sociaux</t>
        </is>
      </c>
      <c r="B20" s="10" t="n">
        <v>0.172</v>
      </c>
      <c r="C20" s="9" t="inlineStr">
        <is>
          <t>À vérifier (LFSS)</t>
        </is>
      </c>
    </row>
    <row r="21">
      <c r="A21" s="2" t="inlineStr">
        <is>
          <t>Part du terrain (non amortissable)</t>
        </is>
      </c>
      <c r="B21" s="10" t="n">
        <v>0.15</v>
      </c>
      <c r="C21" s="9" t="inlineStr">
        <is>
          <t>15 à 20 %</t>
        </is>
      </c>
    </row>
    <row r="22">
      <c r="A22" s="2" t="inlineStr">
        <is>
          <t>Durée d'amortissement du bâti (ans)</t>
        </is>
      </c>
      <c r="B22" s="11" t="n">
        <v>30</v>
      </c>
      <c r="C22" s="9" t="inlineStr">
        <is>
          <t>Moyenne des composants</t>
        </is>
      </c>
    </row>
    <row r="23">
      <c r="A23" s="2" t="inlineStr">
        <is>
          <t>Durée d'amortissement des travaux (ans)</t>
        </is>
      </c>
      <c r="B23" s="11" t="n">
        <v>15</v>
      </c>
      <c r="C23" s="5" t="n"/>
    </row>
    <row r="24">
      <c r="A24" s="2" t="inlineStr">
        <is>
          <t>Durée d'amortissement du mobilier (ans)</t>
        </is>
      </c>
      <c r="B24" s="11" t="n">
        <v>7</v>
      </c>
      <c r="C24" s="5" t="n"/>
    </row>
    <row r="25">
      <c r="A25" s="5" t="n"/>
      <c r="B25" s="5" t="n"/>
      <c r="C25" s="5" t="n"/>
    </row>
    <row r="26">
      <c r="A26" s="6" t="inlineStr">
        <is>
          <t>Financement et rendements</t>
        </is>
      </c>
      <c r="B26" s="7" t="n"/>
      <c r="C26" s="7" t="n"/>
    </row>
    <row r="27">
      <c r="A27" s="3" t="inlineStr">
        <is>
          <t>Coût total</t>
        </is>
      </c>
      <c r="B27" s="13">
        <f>B4+B5+B6+B7</f>
        <v/>
      </c>
      <c r="C27" s="5" t="n"/>
    </row>
    <row r="28">
      <c r="A28" s="2" t="inlineStr">
        <is>
          <t>Montant emprunté</t>
        </is>
      </c>
      <c r="B28" s="12">
        <f>B27-B8</f>
        <v/>
      </c>
      <c r="C28" s="5" t="n"/>
    </row>
    <row r="29">
      <c r="A29" s="2" t="inlineStr">
        <is>
          <t>Mensualité hors assurance</t>
        </is>
      </c>
      <c r="B29" s="20">
        <f>IF(B28&lt;=0,0,B28*(B9/12)/(1-(1+B9/12)^(-B10*12)))</f>
        <v/>
      </c>
      <c r="C29" s="5" t="n"/>
    </row>
    <row r="30">
      <c r="A30" s="2" t="inlineStr">
        <is>
          <t>Assurance mensuelle</t>
        </is>
      </c>
      <c r="B30" s="20">
        <f>B28*B11/12</f>
        <v/>
      </c>
      <c r="C30" s="5" t="n"/>
    </row>
    <row r="31">
      <c r="A31" s="2" t="inlineStr">
        <is>
          <t>Annuité totale</t>
        </is>
      </c>
      <c r="B31" s="12">
        <f>(B29+B30)*12</f>
        <v/>
      </c>
      <c r="C31" s="5" t="n"/>
    </row>
    <row r="32">
      <c r="A32" s="2" t="inlineStr">
        <is>
          <t>Intérêts de l'année 1</t>
        </is>
      </c>
      <c r="B32" s="12">
        <f>IF(B28&lt;=0,0,12*B29-(B28-(B28*(1+B9/12)^12-B29*((1+B9/12)^12-1)/(B9/12))))</f>
        <v/>
      </c>
      <c r="C32" s="5" t="n"/>
    </row>
    <row r="33">
      <c r="A33" s="2" t="inlineStr">
        <is>
          <t>Loyers annuels théoriques</t>
        </is>
      </c>
      <c r="B33" s="12">
        <f>B12*12</f>
        <v/>
      </c>
      <c r="C33" s="5" t="n"/>
    </row>
    <row r="34">
      <c r="A34" s="2" t="inlineStr">
        <is>
          <t>Loyers encaissés</t>
        </is>
      </c>
      <c r="B34" s="12">
        <f>B12*(12-B13)</f>
        <v/>
      </c>
      <c r="C34" s="5" t="n"/>
    </row>
    <row r="35">
      <c r="A35" s="2" t="inlineStr">
        <is>
          <t>Charges d'exploitation</t>
        </is>
      </c>
      <c r="B35" s="12">
        <f>B34*B14+B15+B16+B17+B18</f>
        <v/>
      </c>
      <c r="C35" s="5" t="n"/>
    </row>
    <row r="36">
      <c r="A36" s="3" t="inlineStr">
        <is>
          <t>Rendement brut (sur prix)</t>
        </is>
      </c>
      <c r="B36" s="14">
        <f>IF(B4=0,0,B33/B4)</f>
        <v/>
      </c>
      <c r="C36" s="5" t="n"/>
    </row>
    <row r="37">
      <c r="A37" s="2" t="inlineStr">
        <is>
          <t>Rendement brut global</t>
        </is>
      </c>
      <c r="B37" s="21">
        <f>IF(B27=0,0,B33/B27)</f>
        <v/>
      </c>
      <c r="C37" s="5" t="n"/>
    </row>
    <row r="38">
      <c r="A38" s="3" t="inlineStr">
        <is>
          <t>Rendement net</t>
        </is>
      </c>
      <c r="B38" s="14">
        <f>IF(B27=0,0,(B34-B35)/B27)</f>
        <v/>
      </c>
      <c r="C38" s="5" t="n"/>
    </row>
    <row r="39">
      <c r="A39" s="2" t="inlineStr">
        <is>
          <t>DSCR</t>
        </is>
      </c>
      <c r="B39" s="22">
        <f>IF(B31=0,0,(B34-B35)/B31)</f>
        <v/>
      </c>
      <c r="C39" s="9" t="inlineStr">
        <is>
          <t>Banque : ≥ 1,2</t>
        </is>
      </c>
    </row>
    <row r="40">
      <c r="A40" s="3" t="inlineStr">
        <is>
          <t>CASH-FLOW AVANT IMPÔT (an)</t>
        </is>
      </c>
      <c r="B40" s="13">
        <f>B34-B35-B31</f>
        <v/>
      </c>
      <c r="C40" s="5" t="n"/>
    </row>
    <row r="41">
      <c r="A41" s="5" t="n"/>
      <c r="B41" s="5" t="n"/>
      <c r="C41" s="5" t="n"/>
    </row>
    <row r="42">
      <c r="A42" s="6" t="inlineStr">
        <is>
          <t>Fiscalité comparée (année 1, hors déficit foncier des travaux)</t>
        </is>
      </c>
      <c r="B42" s="7" t="n"/>
      <c r="C42" s="7" t="n"/>
    </row>
    <row r="43">
      <c r="A43" s="2" t="inlineStr">
        <is>
          <t>Nu réel : revenu foncier imposable</t>
        </is>
      </c>
      <c r="B43" s="12">
        <f>B34-(B35-B18)-B32-B30*12</f>
        <v/>
      </c>
      <c r="C43" s="9" t="inlineStr">
        <is>
          <t>Travaux supposés déjà déduits ; pas d'expert-comptable</t>
        </is>
      </c>
    </row>
    <row r="44">
      <c r="A44" s="2" t="inlineStr">
        <is>
          <t>Nu réel : impôt + PS</t>
        </is>
      </c>
      <c r="B44" s="12">
        <f>MAX(0,B43)*(B19+B20)</f>
        <v/>
      </c>
      <c r="C44" s="5" t="n"/>
    </row>
    <row r="45">
      <c r="A45" s="3" t="inlineStr">
        <is>
          <t>Nu réel : cash-flow après impôt</t>
        </is>
      </c>
      <c r="B45" s="13">
        <f>B40+B18-B44</f>
        <v/>
      </c>
      <c r="C45" s="5" t="n"/>
    </row>
    <row r="46">
      <c r="A46" s="2" t="inlineStr">
        <is>
          <t>LMNP réel : amortissements annuels</t>
        </is>
      </c>
      <c r="B46" s="12">
        <f>(B4+B5)*(1-B21)/B22+B6/B23+IF(B24=0,0,B7/B24)</f>
        <v/>
      </c>
      <c r="C46" s="5" t="n"/>
    </row>
    <row r="47">
      <c r="A47" s="2" t="inlineStr">
        <is>
          <t>LMNP réel : résultat avant amortissement</t>
        </is>
      </c>
      <c r="B47" s="12">
        <f>B34-B35-B32-B30*12</f>
        <v/>
      </c>
      <c r="C47" s="5" t="n"/>
    </row>
    <row r="48">
      <c r="A48" s="2" t="inlineStr">
        <is>
          <t>LMNP réel : résultat fiscal (plancher 0)</t>
        </is>
      </c>
      <c r="B48" s="12">
        <f>MAX(0,B47-B46)</f>
        <v/>
      </c>
      <c r="C48" s="9" t="inlineStr">
        <is>
          <t>Excédent d'amortissement reportable</t>
        </is>
      </c>
    </row>
    <row r="49">
      <c r="A49" s="2" t="inlineStr">
        <is>
          <t>LMNP réel : impôt + PS</t>
        </is>
      </c>
      <c r="B49" s="12">
        <f>B48*(B19+B20)</f>
        <v/>
      </c>
      <c r="C49" s="5" t="n"/>
    </row>
    <row r="50">
      <c r="A50" s="3" t="inlineStr">
        <is>
          <t>LMNP réel : cash-flow après impôt</t>
        </is>
      </c>
      <c r="B50" s="13">
        <f>B40-B49</f>
        <v/>
      </c>
      <c r="C50" s="5" t="n"/>
    </row>
    <row r="51">
      <c r="A51" s="2" t="inlineStr">
        <is>
          <t>Micro-BIC : impôt + PS (abattement 50 %)</t>
        </is>
      </c>
      <c r="B51" s="12">
        <f>IF(B33&gt;77700,0,B34*0.5*(B19+B20))</f>
        <v/>
      </c>
      <c r="C51" s="9" t="inlineStr">
        <is>
          <t>0 si recettes &gt; 77 700 € (réel obligatoire)</t>
        </is>
      </c>
    </row>
    <row r="52">
      <c r="A52" s="3" t="inlineStr">
        <is>
          <t>Micro-BIC : cash-flow après impôt</t>
        </is>
      </c>
      <c r="B52" s="13">
        <f>B40-B51</f>
        <v/>
      </c>
      <c r="C52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60" customWidth="1" min="3" max="3"/>
  </cols>
  <sheetData>
    <row r="1">
      <c r="A1" s="1" t="inlineStr">
        <is>
          <t>Capacité d'emprunt (règles HCSF)</t>
        </is>
      </c>
      <c r="B1" s="5" t="n"/>
      <c r="C1" s="5" t="n"/>
    </row>
    <row r="2">
      <c r="A2" s="5" t="n"/>
      <c r="B2" s="5" t="n"/>
      <c r="C2" s="5" t="n"/>
    </row>
    <row r="3">
      <c r="A3" s="6" t="inlineStr">
        <is>
          <t>Hypothèses</t>
        </is>
      </c>
      <c r="B3" s="7" t="n"/>
      <c r="C3" s="7" t="n"/>
    </row>
    <row r="4">
      <c r="A4" s="2" t="inlineStr">
        <is>
          <t>Revenus nets mensuels du foyer</t>
        </is>
      </c>
      <c r="B4" s="8" t="n">
        <v>4000</v>
      </c>
      <c r="C4" s="9" t="inlineStr">
        <is>
          <t>Avant impôt</t>
        </is>
      </c>
    </row>
    <row r="5">
      <c r="A5" s="2" t="inlineStr">
        <is>
          <t>Mensualités de crédit en cours</t>
        </is>
      </c>
      <c r="B5" s="8" t="n">
        <v>0</v>
      </c>
      <c r="C5" s="5" t="n"/>
    </row>
    <row r="6">
      <c r="A6" s="2" t="inlineStr">
        <is>
          <t>Loyers existants ou futurs (mensuels)</t>
        </is>
      </c>
      <c r="B6" s="8" t="n">
        <v>0</v>
      </c>
      <c r="C6" s="9" t="inlineStr">
        <is>
          <t>Bail ou estimation d'agence</t>
        </is>
      </c>
    </row>
    <row r="7">
      <c r="A7" s="2" t="inlineStr">
        <is>
          <t>Pondération des loyers</t>
        </is>
      </c>
      <c r="B7" s="10" t="n">
        <v>0.7</v>
      </c>
      <c r="C7" s="9" t="inlineStr">
        <is>
          <t>70 % en général</t>
        </is>
      </c>
    </row>
    <row r="8">
      <c r="A8" s="2" t="inlineStr">
        <is>
          <t>Taux d'effort maximum</t>
        </is>
      </c>
      <c r="B8" s="10" t="n">
        <v>0.35</v>
      </c>
      <c r="C8" s="9" t="inlineStr">
        <is>
          <t>HCSF, assurance incluse</t>
        </is>
      </c>
    </row>
    <row r="9">
      <c r="A9" s="2" t="inlineStr">
        <is>
          <t>Taux du crédit</t>
        </is>
      </c>
      <c r="B9" s="10" t="n">
        <v>0.035</v>
      </c>
      <c r="C9" s="5" t="n"/>
    </row>
    <row r="10">
      <c r="A10" s="2" t="inlineStr">
        <is>
          <t>Durée (années)</t>
        </is>
      </c>
      <c r="B10" s="11" t="n">
        <v>25</v>
      </c>
      <c r="C10" s="5" t="n"/>
    </row>
    <row r="11">
      <c r="A11" s="2" t="inlineStr">
        <is>
          <t>Assurance (% du capital / an)</t>
        </is>
      </c>
      <c r="B11" s="10" t="n">
        <v>0.003</v>
      </c>
      <c r="C11" s="5" t="n"/>
    </row>
    <row r="12">
      <c r="A12" s="5" t="n"/>
      <c r="B12" s="5" t="n"/>
      <c r="C12" s="5" t="n"/>
    </row>
    <row r="13">
      <c r="A13" s="6" t="inlineStr">
        <is>
          <t>Résultats</t>
        </is>
      </c>
      <c r="B13" s="7" t="n"/>
      <c r="C13" s="7" t="n"/>
    </row>
    <row r="14">
      <c r="A14" s="2" t="inlineStr">
        <is>
          <t>Revenus retenus</t>
        </is>
      </c>
      <c r="B14" s="12">
        <f>B4+B6*B7</f>
        <v/>
      </c>
      <c r="C14" s="5" t="n"/>
    </row>
    <row r="15">
      <c r="A15" s="2" t="inlineStr">
        <is>
          <t>Mensualité maximum totale</t>
        </is>
      </c>
      <c r="B15" s="12">
        <f>B14*B8</f>
        <v/>
      </c>
      <c r="C15" s="5" t="n"/>
    </row>
    <row r="16">
      <c r="A16" s="3" t="inlineStr">
        <is>
          <t>Mensualité disponible pour le nouveau prêt</t>
        </is>
      </c>
      <c r="B16" s="13">
        <f>MAX(0,B15-B5)</f>
        <v/>
      </c>
      <c r="C16" s="5" t="n"/>
    </row>
    <row r="17">
      <c r="A17" s="2" t="inlineStr">
        <is>
          <t>Taux d'effort actuel</t>
        </is>
      </c>
      <c r="B17" s="21">
        <f>IF(B14=0,0,B5/B14)</f>
        <v/>
      </c>
      <c r="C17" s="5" t="n"/>
    </row>
    <row r="18">
      <c r="A18" s="3" t="inlineStr">
        <is>
          <t>CAPACITÉ D'EMPRUNT</t>
        </is>
      </c>
      <c r="B18" s="13">
        <f>IF(B16=0,0,B16/((B9/12)/(1-(1+B9/12)^(-B10*12))+B11/12))</f>
        <v/>
      </c>
      <c r="C18" s="9" t="inlineStr">
        <is>
          <t>Assurance incluse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Tableau d'amortissement (prêt à échéances constantes)</t>
        </is>
      </c>
      <c r="B1" s="5" t="n"/>
      <c r="C1" s="5" t="n"/>
      <c r="D1" s="5" t="n"/>
      <c r="E1" s="5" t="n"/>
      <c r="F1" s="5" t="n"/>
    </row>
    <row r="2">
      <c r="A2" s="5" t="n"/>
      <c r="B2" s="5" t="n"/>
      <c r="C2" s="5" t="n"/>
      <c r="D2" s="5" t="n"/>
      <c r="E2" s="5" t="n"/>
      <c r="F2" s="5" t="n"/>
    </row>
    <row r="3">
      <c r="A3" s="6" t="inlineStr">
        <is>
          <t>Hypothèses</t>
        </is>
      </c>
      <c r="B3" s="7" t="n"/>
      <c r="C3" s="7" t="n"/>
      <c r="D3" s="5" t="n"/>
      <c r="E3" s="5" t="n"/>
      <c r="F3" s="5" t="n"/>
    </row>
    <row r="4">
      <c r="A4" s="2" t="inlineStr">
        <is>
          <t>Capital</t>
        </is>
      </c>
      <c r="B4" s="8" t="n">
        <v>200000</v>
      </c>
      <c r="C4" s="5" t="n"/>
      <c r="D4" s="5" t="n"/>
      <c r="E4" s="5" t="n"/>
      <c r="F4" s="5" t="n"/>
    </row>
    <row r="5">
      <c r="A5" s="2" t="inlineStr">
        <is>
          <t>Taux annuel</t>
        </is>
      </c>
      <c r="B5" s="10" t="n">
        <v>0.035</v>
      </c>
      <c r="C5" s="5" t="n"/>
      <c r="D5" s="5" t="n"/>
      <c r="E5" s="5" t="n"/>
      <c r="F5" s="5" t="n"/>
    </row>
    <row r="6">
      <c r="A6" s="2" t="inlineStr">
        <is>
          <t>Durée (années)</t>
        </is>
      </c>
      <c r="B6" s="11" t="n">
        <v>20</v>
      </c>
      <c r="C6" s="5" t="n"/>
      <c r="D6" s="5" t="n"/>
      <c r="E6" s="5" t="n"/>
      <c r="F6" s="5" t="n"/>
    </row>
    <row r="7">
      <c r="A7" s="3" t="inlineStr">
        <is>
          <t>Mensualité</t>
        </is>
      </c>
      <c r="B7" s="23">
        <f>B4*(B5/12)/(1-(1+B5/12)^(-B6*12))</f>
        <v/>
      </c>
      <c r="C7" s="5" t="n"/>
      <c r="D7" s="5" t="n"/>
      <c r="E7" s="5" t="n"/>
      <c r="F7" s="5" t="n"/>
    </row>
    <row r="8">
      <c r="A8" s="3" t="inlineStr">
        <is>
          <t>Coût total des intérêts</t>
        </is>
      </c>
      <c r="B8" s="13">
        <f>B7*B6*12-B4</f>
        <v/>
      </c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6" t="inlineStr">
        <is>
          <t>Mois</t>
        </is>
      </c>
      <c r="B10" s="6" t="inlineStr">
        <is>
          <t>CRD début</t>
        </is>
      </c>
      <c r="C10" s="6" t="inlineStr">
        <is>
          <t>Échéance</t>
        </is>
      </c>
      <c r="D10" s="6" t="inlineStr">
        <is>
          <t>Intérêts</t>
        </is>
      </c>
      <c r="E10" s="6" t="inlineStr">
        <is>
          <t>Capital</t>
        </is>
      </c>
      <c r="F10" s="6" t="inlineStr">
        <is>
          <t>CRD fin</t>
        </is>
      </c>
    </row>
    <row r="11">
      <c r="A11" s="2" t="n">
        <v>1</v>
      </c>
      <c r="B11" s="20">
        <f>IF(A11&gt;$B$6*12,"",$B$4)</f>
        <v/>
      </c>
      <c r="C11" s="20">
        <f>IF(A11&gt;$B$6*12,"",$B$7)</f>
        <v/>
      </c>
      <c r="D11" s="20">
        <f>IF(A11&gt;$B$6*12,"",B11*$B$5/12)</f>
        <v/>
      </c>
      <c r="E11" s="20">
        <f>IF(A11&gt;$B$6*12,"",C11-D11)</f>
        <v/>
      </c>
      <c r="F11" s="20">
        <f>IF(A11&gt;$B$6*12,"",B11-E11)</f>
        <v/>
      </c>
    </row>
    <row r="12">
      <c r="A12" s="2" t="n">
        <v>2</v>
      </c>
      <c r="B12" s="20">
        <f>IF(A12&gt;$B$6*12,"",F11)</f>
        <v/>
      </c>
      <c r="C12" s="20">
        <f>IF(A12&gt;$B$6*12,"",$B$7)</f>
        <v/>
      </c>
      <c r="D12" s="20">
        <f>IF(A12&gt;$B$6*12,"",B12*$B$5/12)</f>
        <v/>
      </c>
      <c r="E12" s="20">
        <f>IF(A12&gt;$B$6*12,"",C12-D12)</f>
        <v/>
      </c>
      <c r="F12" s="20">
        <f>IF(A12&gt;$B$6*12,"",B12-E12)</f>
        <v/>
      </c>
    </row>
    <row r="13">
      <c r="A13" s="2" t="n">
        <v>3</v>
      </c>
      <c r="B13" s="20">
        <f>IF(A13&gt;$B$6*12,"",F12)</f>
        <v/>
      </c>
      <c r="C13" s="20">
        <f>IF(A13&gt;$B$6*12,"",$B$7)</f>
        <v/>
      </c>
      <c r="D13" s="20">
        <f>IF(A13&gt;$B$6*12,"",B13*$B$5/12)</f>
        <v/>
      </c>
      <c r="E13" s="20">
        <f>IF(A13&gt;$B$6*12,"",C13-D13)</f>
        <v/>
      </c>
      <c r="F13" s="20">
        <f>IF(A13&gt;$B$6*12,"",B13-E13)</f>
        <v/>
      </c>
    </row>
    <row r="14">
      <c r="A14" s="2" t="n">
        <v>4</v>
      </c>
      <c r="B14" s="20">
        <f>IF(A14&gt;$B$6*12,"",F13)</f>
        <v/>
      </c>
      <c r="C14" s="20">
        <f>IF(A14&gt;$B$6*12,"",$B$7)</f>
        <v/>
      </c>
      <c r="D14" s="20">
        <f>IF(A14&gt;$B$6*12,"",B14*$B$5/12)</f>
        <v/>
      </c>
      <c r="E14" s="20">
        <f>IF(A14&gt;$B$6*12,"",C14-D14)</f>
        <v/>
      </c>
      <c r="F14" s="20">
        <f>IF(A14&gt;$B$6*12,"",B14-E14)</f>
        <v/>
      </c>
    </row>
    <row r="15">
      <c r="A15" s="2" t="n">
        <v>5</v>
      </c>
      <c r="B15" s="20">
        <f>IF(A15&gt;$B$6*12,"",F14)</f>
        <v/>
      </c>
      <c r="C15" s="20">
        <f>IF(A15&gt;$B$6*12,"",$B$7)</f>
        <v/>
      </c>
      <c r="D15" s="20">
        <f>IF(A15&gt;$B$6*12,"",B15*$B$5/12)</f>
        <v/>
      </c>
      <c r="E15" s="20">
        <f>IF(A15&gt;$B$6*12,"",C15-D15)</f>
        <v/>
      </c>
      <c r="F15" s="20">
        <f>IF(A15&gt;$B$6*12,"",B15-E15)</f>
        <v/>
      </c>
    </row>
    <row r="16">
      <c r="A16" s="2" t="n">
        <v>6</v>
      </c>
      <c r="B16" s="20">
        <f>IF(A16&gt;$B$6*12,"",F15)</f>
        <v/>
      </c>
      <c r="C16" s="20">
        <f>IF(A16&gt;$B$6*12,"",$B$7)</f>
        <v/>
      </c>
      <c r="D16" s="20">
        <f>IF(A16&gt;$B$6*12,"",B16*$B$5/12)</f>
        <v/>
      </c>
      <c r="E16" s="20">
        <f>IF(A16&gt;$B$6*12,"",C16-D16)</f>
        <v/>
      </c>
      <c r="F16" s="20">
        <f>IF(A16&gt;$B$6*12,"",B16-E16)</f>
        <v/>
      </c>
    </row>
    <row r="17">
      <c r="A17" s="2" t="n">
        <v>7</v>
      </c>
      <c r="B17" s="20">
        <f>IF(A17&gt;$B$6*12,"",F16)</f>
        <v/>
      </c>
      <c r="C17" s="20">
        <f>IF(A17&gt;$B$6*12,"",$B$7)</f>
        <v/>
      </c>
      <c r="D17" s="20">
        <f>IF(A17&gt;$B$6*12,"",B17*$B$5/12)</f>
        <v/>
      </c>
      <c r="E17" s="20">
        <f>IF(A17&gt;$B$6*12,"",C17-D17)</f>
        <v/>
      </c>
      <c r="F17" s="20">
        <f>IF(A17&gt;$B$6*12,"",B17-E17)</f>
        <v/>
      </c>
    </row>
    <row r="18">
      <c r="A18" s="2" t="n">
        <v>8</v>
      </c>
      <c r="B18" s="20">
        <f>IF(A18&gt;$B$6*12,"",F17)</f>
        <v/>
      </c>
      <c r="C18" s="20">
        <f>IF(A18&gt;$B$6*12,"",$B$7)</f>
        <v/>
      </c>
      <c r="D18" s="20">
        <f>IF(A18&gt;$B$6*12,"",B18*$B$5/12)</f>
        <v/>
      </c>
      <c r="E18" s="20">
        <f>IF(A18&gt;$B$6*12,"",C18-D18)</f>
        <v/>
      </c>
      <c r="F18" s="20">
        <f>IF(A18&gt;$B$6*12,"",B18-E18)</f>
        <v/>
      </c>
    </row>
    <row r="19">
      <c r="A19" s="2" t="n">
        <v>9</v>
      </c>
      <c r="B19" s="20">
        <f>IF(A19&gt;$B$6*12,"",F18)</f>
        <v/>
      </c>
      <c r="C19" s="20">
        <f>IF(A19&gt;$B$6*12,"",$B$7)</f>
        <v/>
      </c>
      <c r="D19" s="20">
        <f>IF(A19&gt;$B$6*12,"",B19*$B$5/12)</f>
        <v/>
      </c>
      <c r="E19" s="20">
        <f>IF(A19&gt;$B$6*12,"",C19-D19)</f>
        <v/>
      </c>
      <c r="F19" s="20">
        <f>IF(A19&gt;$B$6*12,"",B19-E19)</f>
        <v/>
      </c>
    </row>
    <row r="20">
      <c r="A20" s="2" t="n">
        <v>10</v>
      </c>
      <c r="B20" s="20">
        <f>IF(A20&gt;$B$6*12,"",F19)</f>
        <v/>
      </c>
      <c r="C20" s="20">
        <f>IF(A20&gt;$B$6*12,"",$B$7)</f>
        <v/>
      </c>
      <c r="D20" s="20">
        <f>IF(A20&gt;$B$6*12,"",B20*$B$5/12)</f>
        <v/>
      </c>
      <c r="E20" s="20">
        <f>IF(A20&gt;$B$6*12,"",C20-D20)</f>
        <v/>
      </c>
      <c r="F20" s="20">
        <f>IF(A20&gt;$B$6*12,"",B20-E20)</f>
        <v/>
      </c>
    </row>
    <row r="21">
      <c r="A21" s="2" t="n">
        <v>11</v>
      </c>
      <c r="B21" s="20">
        <f>IF(A21&gt;$B$6*12,"",F20)</f>
        <v/>
      </c>
      <c r="C21" s="20">
        <f>IF(A21&gt;$B$6*12,"",$B$7)</f>
        <v/>
      </c>
      <c r="D21" s="20">
        <f>IF(A21&gt;$B$6*12,"",B21*$B$5/12)</f>
        <v/>
      </c>
      <c r="E21" s="20">
        <f>IF(A21&gt;$B$6*12,"",C21-D21)</f>
        <v/>
      </c>
      <c r="F21" s="20">
        <f>IF(A21&gt;$B$6*12,"",B21-E21)</f>
        <v/>
      </c>
    </row>
    <row r="22">
      <c r="A22" s="2" t="n">
        <v>12</v>
      </c>
      <c r="B22" s="20">
        <f>IF(A22&gt;$B$6*12,"",F21)</f>
        <v/>
      </c>
      <c r="C22" s="20">
        <f>IF(A22&gt;$B$6*12,"",$B$7)</f>
        <v/>
      </c>
      <c r="D22" s="20">
        <f>IF(A22&gt;$B$6*12,"",B22*$B$5/12)</f>
        <v/>
      </c>
      <c r="E22" s="20">
        <f>IF(A22&gt;$B$6*12,"",C22-D22)</f>
        <v/>
      </c>
      <c r="F22" s="20">
        <f>IF(A22&gt;$B$6*12,"",B22-E22)</f>
        <v/>
      </c>
    </row>
    <row r="23">
      <c r="A23" s="2" t="n">
        <v>13</v>
      </c>
      <c r="B23" s="20">
        <f>IF(A23&gt;$B$6*12,"",F22)</f>
        <v/>
      </c>
      <c r="C23" s="20">
        <f>IF(A23&gt;$B$6*12,"",$B$7)</f>
        <v/>
      </c>
      <c r="D23" s="20">
        <f>IF(A23&gt;$B$6*12,"",B23*$B$5/12)</f>
        <v/>
      </c>
      <c r="E23" s="20">
        <f>IF(A23&gt;$B$6*12,"",C23-D23)</f>
        <v/>
      </c>
      <c r="F23" s="20">
        <f>IF(A23&gt;$B$6*12,"",B23-E23)</f>
        <v/>
      </c>
    </row>
    <row r="24">
      <c r="A24" s="2" t="n">
        <v>14</v>
      </c>
      <c r="B24" s="20">
        <f>IF(A24&gt;$B$6*12,"",F23)</f>
        <v/>
      </c>
      <c r="C24" s="20">
        <f>IF(A24&gt;$B$6*12,"",$B$7)</f>
        <v/>
      </c>
      <c r="D24" s="20">
        <f>IF(A24&gt;$B$6*12,"",B24*$B$5/12)</f>
        <v/>
      </c>
      <c r="E24" s="20">
        <f>IF(A24&gt;$B$6*12,"",C24-D24)</f>
        <v/>
      </c>
      <c r="F24" s="20">
        <f>IF(A24&gt;$B$6*12,"",B24-E24)</f>
        <v/>
      </c>
    </row>
    <row r="25">
      <c r="A25" s="2" t="n">
        <v>15</v>
      </c>
      <c r="B25" s="20">
        <f>IF(A25&gt;$B$6*12,"",F24)</f>
        <v/>
      </c>
      <c r="C25" s="20">
        <f>IF(A25&gt;$B$6*12,"",$B$7)</f>
        <v/>
      </c>
      <c r="D25" s="20">
        <f>IF(A25&gt;$B$6*12,"",B25*$B$5/12)</f>
        <v/>
      </c>
      <c r="E25" s="20">
        <f>IF(A25&gt;$B$6*12,"",C25-D25)</f>
        <v/>
      </c>
      <c r="F25" s="20">
        <f>IF(A25&gt;$B$6*12,"",B25-E25)</f>
        <v/>
      </c>
    </row>
    <row r="26">
      <c r="A26" s="2" t="n">
        <v>16</v>
      </c>
      <c r="B26" s="20">
        <f>IF(A26&gt;$B$6*12,"",F25)</f>
        <v/>
      </c>
      <c r="C26" s="20">
        <f>IF(A26&gt;$B$6*12,"",$B$7)</f>
        <v/>
      </c>
      <c r="D26" s="20">
        <f>IF(A26&gt;$B$6*12,"",B26*$B$5/12)</f>
        <v/>
      </c>
      <c r="E26" s="20">
        <f>IF(A26&gt;$B$6*12,"",C26-D26)</f>
        <v/>
      </c>
      <c r="F26" s="20">
        <f>IF(A26&gt;$B$6*12,"",B26-E26)</f>
        <v/>
      </c>
    </row>
    <row r="27">
      <c r="A27" s="2" t="n">
        <v>17</v>
      </c>
      <c r="B27" s="20">
        <f>IF(A27&gt;$B$6*12,"",F26)</f>
        <v/>
      </c>
      <c r="C27" s="20">
        <f>IF(A27&gt;$B$6*12,"",$B$7)</f>
        <v/>
      </c>
      <c r="D27" s="20">
        <f>IF(A27&gt;$B$6*12,"",B27*$B$5/12)</f>
        <v/>
      </c>
      <c r="E27" s="20">
        <f>IF(A27&gt;$B$6*12,"",C27-D27)</f>
        <v/>
      </c>
      <c r="F27" s="20">
        <f>IF(A27&gt;$B$6*12,"",B27-E27)</f>
        <v/>
      </c>
    </row>
    <row r="28">
      <c r="A28" s="2" t="n">
        <v>18</v>
      </c>
      <c r="B28" s="20">
        <f>IF(A28&gt;$B$6*12,"",F27)</f>
        <v/>
      </c>
      <c r="C28" s="20">
        <f>IF(A28&gt;$B$6*12,"",$B$7)</f>
        <v/>
      </c>
      <c r="D28" s="20">
        <f>IF(A28&gt;$B$6*12,"",B28*$B$5/12)</f>
        <v/>
      </c>
      <c r="E28" s="20">
        <f>IF(A28&gt;$B$6*12,"",C28-D28)</f>
        <v/>
      </c>
      <c r="F28" s="20">
        <f>IF(A28&gt;$B$6*12,"",B28-E28)</f>
        <v/>
      </c>
    </row>
    <row r="29">
      <c r="A29" s="2" t="n">
        <v>19</v>
      </c>
      <c r="B29" s="20">
        <f>IF(A29&gt;$B$6*12,"",F28)</f>
        <v/>
      </c>
      <c r="C29" s="20">
        <f>IF(A29&gt;$B$6*12,"",$B$7)</f>
        <v/>
      </c>
      <c r="D29" s="20">
        <f>IF(A29&gt;$B$6*12,"",B29*$B$5/12)</f>
        <v/>
      </c>
      <c r="E29" s="20">
        <f>IF(A29&gt;$B$6*12,"",C29-D29)</f>
        <v/>
      </c>
      <c r="F29" s="20">
        <f>IF(A29&gt;$B$6*12,"",B29-E29)</f>
        <v/>
      </c>
    </row>
    <row r="30">
      <c r="A30" s="2" t="n">
        <v>20</v>
      </c>
      <c r="B30" s="20">
        <f>IF(A30&gt;$B$6*12,"",F29)</f>
        <v/>
      </c>
      <c r="C30" s="20">
        <f>IF(A30&gt;$B$6*12,"",$B$7)</f>
        <v/>
      </c>
      <c r="D30" s="20">
        <f>IF(A30&gt;$B$6*12,"",B30*$B$5/12)</f>
        <v/>
      </c>
      <c r="E30" s="20">
        <f>IF(A30&gt;$B$6*12,"",C30-D30)</f>
        <v/>
      </c>
      <c r="F30" s="20">
        <f>IF(A30&gt;$B$6*12,"",B30-E30)</f>
        <v/>
      </c>
    </row>
    <row r="31">
      <c r="A31" s="2" t="n">
        <v>21</v>
      </c>
      <c r="B31" s="20">
        <f>IF(A31&gt;$B$6*12,"",F30)</f>
        <v/>
      </c>
      <c r="C31" s="20">
        <f>IF(A31&gt;$B$6*12,"",$B$7)</f>
        <v/>
      </c>
      <c r="D31" s="20">
        <f>IF(A31&gt;$B$6*12,"",B31*$B$5/12)</f>
        <v/>
      </c>
      <c r="E31" s="20">
        <f>IF(A31&gt;$B$6*12,"",C31-D31)</f>
        <v/>
      </c>
      <c r="F31" s="20">
        <f>IF(A31&gt;$B$6*12,"",B31-E31)</f>
        <v/>
      </c>
    </row>
    <row r="32">
      <c r="A32" s="2" t="n">
        <v>22</v>
      </c>
      <c r="B32" s="20">
        <f>IF(A32&gt;$B$6*12,"",F31)</f>
        <v/>
      </c>
      <c r="C32" s="20">
        <f>IF(A32&gt;$B$6*12,"",$B$7)</f>
        <v/>
      </c>
      <c r="D32" s="20">
        <f>IF(A32&gt;$B$6*12,"",B32*$B$5/12)</f>
        <v/>
      </c>
      <c r="E32" s="20">
        <f>IF(A32&gt;$B$6*12,"",C32-D32)</f>
        <v/>
      </c>
      <c r="F32" s="20">
        <f>IF(A32&gt;$B$6*12,"",B32-E32)</f>
        <v/>
      </c>
    </row>
    <row r="33">
      <c r="A33" s="2" t="n">
        <v>23</v>
      </c>
      <c r="B33" s="20">
        <f>IF(A33&gt;$B$6*12,"",F32)</f>
        <v/>
      </c>
      <c r="C33" s="20">
        <f>IF(A33&gt;$B$6*12,"",$B$7)</f>
        <v/>
      </c>
      <c r="D33" s="20">
        <f>IF(A33&gt;$B$6*12,"",B33*$B$5/12)</f>
        <v/>
      </c>
      <c r="E33" s="20">
        <f>IF(A33&gt;$B$6*12,"",C33-D33)</f>
        <v/>
      </c>
      <c r="F33" s="20">
        <f>IF(A33&gt;$B$6*12,"",B33-E33)</f>
        <v/>
      </c>
    </row>
    <row r="34">
      <c r="A34" s="2" t="n">
        <v>24</v>
      </c>
      <c r="B34" s="20">
        <f>IF(A34&gt;$B$6*12,"",F33)</f>
        <v/>
      </c>
      <c r="C34" s="20">
        <f>IF(A34&gt;$B$6*12,"",$B$7)</f>
        <v/>
      </c>
      <c r="D34" s="20">
        <f>IF(A34&gt;$B$6*12,"",B34*$B$5/12)</f>
        <v/>
      </c>
      <c r="E34" s="20">
        <f>IF(A34&gt;$B$6*12,"",C34-D34)</f>
        <v/>
      </c>
      <c r="F34" s="20">
        <f>IF(A34&gt;$B$6*12,"",B34-E34)</f>
        <v/>
      </c>
    </row>
    <row r="35">
      <c r="A35" s="2" t="n">
        <v>25</v>
      </c>
      <c r="B35" s="20">
        <f>IF(A35&gt;$B$6*12,"",F34)</f>
        <v/>
      </c>
      <c r="C35" s="20">
        <f>IF(A35&gt;$B$6*12,"",$B$7)</f>
        <v/>
      </c>
      <c r="D35" s="20">
        <f>IF(A35&gt;$B$6*12,"",B35*$B$5/12)</f>
        <v/>
      </c>
      <c r="E35" s="20">
        <f>IF(A35&gt;$B$6*12,"",C35-D35)</f>
        <v/>
      </c>
      <c r="F35" s="20">
        <f>IF(A35&gt;$B$6*12,"",B35-E35)</f>
        <v/>
      </c>
    </row>
    <row r="36">
      <c r="A36" s="2" t="n">
        <v>26</v>
      </c>
      <c r="B36" s="20">
        <f>IF(A36&gt;$B$6*12,"",F35)</f>
        <v/>
      </c>
      <c r="C36" s="20">
        <f>IF(A36&gt;$B$6*12,"",$B$7)</f>
        <v/>
      </c>
      <c r="D36" s="20">
        <f>IF(A36&gt;$B$6*12,"",B36*$B$5/12)</f>
        <v/>
      </c>
      <c r="E36" s="20">
        <f>IF(A36&gt;$B$6*12,"",C36-D36)</f>
        <v/>
      </c>
      <c r="F36" s="20">
        <f>IF(A36&gt;$B$6*12,"",B36-E36)</f>
        <v/>
      </c>
    </row>
    <row r="37">
      <c r="A37" s="2" t="n">
        <v>27</v>
      </c>
      <c r="B37" s="20">
        <f>IF(A37&gt;$B$6*12,"",F36)</f>
        <v/>
      </c>
      <c r="C37" s="20">
        <f>IF(A37&gt;$B$6*12,"",$B$7)</f>
        <v/>
      </c>
      <c r="D37" s="20">
        <f>IF(A37&gt;$B$6*12,"",B37*$B$5/12)</f>
        <v/>
      </c>
      <c r="E37" s="20">
        <f>IF(A37&gt;$B$6*12,"",C37-D37)</f>
        <v/>
      </c>
      <c r="F37" s="20">
        <f>IF(A37&gt;$B$6*12,"",B37-E37)</f>
        <v/>
      </c>
    </row>
    <row r="38">
      <c r="A38" s="2" t="n">
        <v>28</v>
      </c>
      <c r="B38" s="20">
        <f>IF(A38&gt;$B$6*12,"",F37)</f>
        <v/>
      </c>
      <c r="C38" s="20">
        <f>IF(A38&gt;$B$6*12,"",$B$7)</f>
        <v/>
      </c>
      <c r="D38" s="20">
        <f>IF(A38&gt;$B$6*12,"",B38*$B$5/12)</f>
        <v/>
      </c>
      <c r="E38" s="20">
        <f>IF(A38&gt;$B$6*12,"",C38-D38)</f>
        <v/>
      </c>
      <c r="F38" s="20">
        <f>IF(A38&gt;$B$6*12,"",B38-E38)</f>
        <v/>
      </c>
    </row>
    <row r="39">
      <c r="A39" s="2" t="n">
        <v>29</v>
      </c>
      <c r="B39" s="20">
        <f>IF(A39&gt;$B$6*12,"",F38)</f>
        <v/>
      </c>
      <c r="C39" s="20">
        <f>IF(A39&gt;$B$6*12,"",$B$7)</f>
        <v/>
      </c>
      <c r="D39" s="20">
        <f>IF(A39&gt;$B$6*12,"",B39*$B$5/12)</f>
        <v/>
      </c>
      <c r="E39" s="20">
        <f>IF(A39&gt;$B$6*12,"",C39-D39)</f>
        <v/>
      </c>
      <c r="F39" s="20">
        <f>IF(A39&gt;$B$6*12,"",B39-E39)</f>
        <v/>
      </c>
    </row>
    <row r="40">
      <c r="A40" s="2" t="n">
        <v>30</v>
      </c>
      <c r="B40" s="20">
        <f>IF(A40&gt;$B$6*12,"",F39)</f>
        <v/>
      </c>
      <c r="C40" s="20">
        <f>IF(A40&gt;$B$6*12,"",$B$7)</f>
        <v/>
      </c>
      <c r="D40" s="20">
        <f>IF(A40&gt;$B$6*12,"",B40*$B$5/12)</f>
        <v/>
      </c>
      <c r="E40" s="20">
        <f>IF(A40&gt;$B$6*12,"",C40-D40)</f>
        <v/>
      </c>
      <c r="F40" s="20">
        <f>IF(A40&gt;$B$6*12,"",B40-E40)</f>
        <v/>
      </c>
    </row>
    <row r="41">
      <c r="A41" s="2" t="n">
        <v>31</v>
      </c>
      <c r="B41" s="20">
        <f>IF(A41&gt;$B$6*12,"",F40)</f>
        <v/>
      </c>
      <c r="C41" s="20">
        <f>IF(A41&gt;$B$6*12,"",$B$7)</f>
        <v/>
      </c>
      <c r="D41" s="20">
        <f>IF(A41&gt;$B$6*12,"",B41*$B$5/12)</f>
        <v/>
      </c>
      <c r="E41" s="20">
        <f>IF(A41&gt;$B$6*12,"",C41-D41)</f>
        <v/>
      </c>
      <c r="F41" s="20">
        <f>IF(A41&gt;$B$6*12,"",B41-E41)</f>
        <v/>
      </c>
    </row>
    <row r="42">
      <c r="A42" s="2" t="n">
        <v>32</v>
      </c>
      <c r="B42" s="20">
        <f>IF(A42&gt;$B$6*12,"",F41)</f>
        <v/>
      </c>
      <c r="C42" s="20">
        <f>IF(A42&gt;$B$6*12,"",$B$7)</f>
        <v/>
      </c>
      <c r="D42" s="20">
        <f>IF(A42&gt;$B$6*12,"",B42*$B$5/12)</f>
        <v/>
      </c>
      <c r="E42" s="20">
        <f>IF(A42&gt;$B$6*12,"",C42-D42)</f>
        <v/>
      </c>
      <c r="F42" s="20">
        <f>IF(A42&gt;$B$6*12,"",B42-E42)</f>
        <v/>
      </c>
    </row>
    <row r="43">
      <c r="A43" s="2" t="n">
        <v>33</v>
      </c>
      <c r="B43" s="20">
        <f>IF(A43&gt;$B$6*12,"",F42)</f>
        <v/>
      </c>
      <c r="C43" s="20">
        <f>IF(A43&gt;$B$6*12,"",$B$7)</f>
        <v/>
      </c>
      <c r="D43" s="20">
        <f>IF(A43&gt;$B$6*12,"",B43*$B$5/12)</f>
        <v/>
      </c>
      <c r="E43" s="20">
        <f>IF(A43&gt;$B$6*12,"",C43-D43)</f>
        <v/>
      </c>
      <c r="F43" s="20">
        <f>IF(A43&gt;$B$6*12,"",B43-E43)</f>
        <v/>
      </c>
    </row>
    <row r="44">
      <c r="A44" s="2" t="n">
        <v>34</v>
      </c>
      <c r="B44" s="20">
        <f>IF(A44&gt;$B$6*12,"",F43)</f>
        <v/>
      </c>
      <c r="C44" s="20">
        <f>IF(A44&gt;$B$6*12,"",$B$7)</f>
        <v/>
      </c>
      <c r="D44" s="20">
        <f>IF(A44&gt;$B$6*12,"",B44*$B$5/12)</f>
        <v/>
      </c>
      <c r="E44" s="20">
        <f>IF(A44&gt;$B$6*12,"",C44-D44)</f>
        <v/>
      </c>
      <c r="F44" s="20">
        <f>IF(A44&gt;$B$6*12,"",B44-E44)</f>
        <v/>
      </c>
    </row>
    <row r="45">
      <c r="A45" s="2" t="n">
        <v>35</v>
      </c>
      <c r="B45" s="20">
        <f>IF(A45&gt;$B$6*12,"",F44)</f>
        <v/>
      </c>
      <c r="C45" s="20">
        <f>IF(A45&gt;$B$6*12,"",$B$7)</f>
        <v/>
      </c>
      <c r="D45" s="20">
        <f>IF(A45&gt;$B$6*12,"",B45*$B$5/12)</f>
        <v/>
      </c>
      <c r="E45" s="20">
        <f>IF(A45&gt;$B$6*12,"",C45-D45)</f>
        <v/>
      </c>
      <c r="F45" s="20">
        <f>IF(A45&gt;$B$6*12,"",B45-E45)</f>
        <v/>
      </c>
    </row>
    <row r="46">
      <c r="A46" s="2" t="n">
        <v>36</v>
      </c>
      <c r="B46" s="20">
        <f>IF(A46&gt;$B$6*12,"",F45)</f>
        <v/>
      </c>
      <c r="C46" s="20">
        <f>IF(A46&gt;$B$6*12,"",$B$7)</f>
        <v/>
      </c>
      <c r="D46" s="20">
        <f>IF(A46&gt;$B$6*12,"",B46*$B$5/12)</f>
        <v/>
      </c>
      <c r="E46" s="20">
        <f>IF(A46&gt;$B$6*12,"",C46-D46)</f>
        <v/>
      </c>
      <c r="F46" s="20">
        <f>IF(A46&gt;$B$6*12,"",B46-E46)</f>
        <v/>
      </c>
    </row>
    <row r="47">
      <c r="A47" s="2" t="n">
        <v>37</v>
      </c>
      <c r="B47" s="20">
        <f>IF(A47&gt;$B$6*12,"",F46)</f>
        <v/>
      </c>
      <c r="C47" s="20">
        <f>IF(A47&gt;$B$6*12,"",$B$7)</f>
        <v/>
      </c>
      <c r="D47" s="20">
        <f>IF(A47&gt;$B$6*12,"",B47*$B$5/12)</f>
        <v/>
      </c>
      <c r="E47" s="20">
        <f>IF(A47&gt;$B$6*12,"",C47-D47)</f>
        <v/>
      </c>
      <c r="F47" s="20">
        <f>IF(A47&gt;$B$6*12,"",B47-E47)</f>
        <v/>
      </c>
    </row>
    <row r="48">
      <c r="A48" s="2" t="n">
        <v>38</v>
      </c>
      <c r="B48" s="20">
        <f>IF(A48&gt;$B$6*12,"",F47)</f>
        <v/>
      </c>
      <c r="C48" s="20">
        <f>IF(A48&gt;$B$6*12,"",$B$7)</f>
        <v/>
      </c>
      <c r="D48" s="20">
        <f>IF(A48&gt;$B$6*12,"",B48*$B$5/12)</f>
        <v/>
      </c>
      <c r="E48" s="20">
        <f>IF(A48&gt;$B$6*12,"",C48-D48)</f>
        <v/>
      </c>
      <c r="F48" s="20">
        <f>IF(A48&gt;$B$6*12,"",B48-E48)</f>
        <v/>
      </c>
    </row>
    <row r="49">
      <c r="A49" s="2" t="n">
        <v>39</v>
      </c>
      <c r="B49" s="20">
        <f>IF(A49&gt;$B$6*12,"",F48)</f>
        <v/>
      </c>
      <c r="C49" s="20">
        <f>IF(A49&gt;$B$6*12,"",$B$7)</f>
        <v/>
      </c>
      <c r="D49" s="20">
        <f>IF(A49&gt;$B$6*12,"",B49*$B$5/12)</f>
        <v/>
      </c>
      <c r="E49" s="20">
        <f>IF(A49&gt;$B$6*12,"",C49-D49)</f>
        <v/>
      </c>
      <c r="F49" s="20">
        <f>IF(A49&gt;$B$6*12,"",B49-E49)</f>
        <v/>
      </c>
    </row>
    <row r="50">
      <c r="A50" s="2" t="n">
        <v>40</v>
      </c>
      <c r="B50" s="20">
        <f>IF(A50&gt;$B$6*12,"",F49)</f>
        <v/>
      </c>
      <c r="C50" s="20">
        <f>IF(A50&gt;$B$6*12,"",$B$7)</f>
        <v/>
      </c>
      <c r="D50" s="20">
        <f>IF(A50&gt;$B$6*12,"",B50*$B$5/12)</f>
        <v/>
      </c>
      <c r="E50" s="20">
        <f>IF(A50&gt;$B$6*12,"",C50-D50)</f>
        <v/>
      </c>
      <c r="F50" s="20">
        <f>IF(A50&gt;$B$6*12,"",B50-E50)</f>
        <v/>
      </c>
    </row>
    <row r="51">
      <c r="A51" s="2" t="n">
        <v>41</v>
      </c>
      <c r="B51" s="20">
        <f>IF(A51&gt;$B$6*12,"",F50)</f>
        <v/>
      </c>
      <c r="C51" s="20">
        <f>IF(A51&gt;$B$6*12,"",$B$7)</f>
        <v/>
      </c>
      <c r="D51" s="20">
        <f>IF(A51&gt;$B$6*12,"",B51*$B$5/12)</f>
        <v/>
      </c>
      <c r="E51" s="20">
        <f>IF(A51&gt;$B$6*12,"",C51-D51)</f>
        <v/>
      </c>
      <c r="F51" s="20">
        <f>IF(A51&gt;$B$6*12,"",B51-E51)</f>
        <v/>
      </c>
    </row>
    <row r="52">
      <c r="A52" s="2" t="n">
        <v>42</v>
      </c>
      <c r="B52" s="20">
        <f>IF(A52&gt;$B$6*12,"",F51)</f>
        <v/>
      </c>
      <c r="C52" s="20">
        <f>IF(A52&gt;$B$6*12,"",$B$7)</f>
        <v/>
      </c>
      <c r="D52" s="20">
        <f>IF(A52&gt;$B$6*12,"",B52*$B$5/12)</f>
        <v/>
      </c>
      <c r="E52" s="20">
        <f>IF(A52&gt;$B$6*12,"",C52-D52)</f>
        <v/>
      </c>
      <c r="F52" s="20">
        <f>IF(A52&gt;$B$6*12,"",B52-E52)</f>
        <v/>
      </c>
    </row>
    <row r="53">
      <c r="A53" s="2" t="n">
        <v>43</v>
      </c>
      <c r="B53" s="20">
        <f>IF(A53&gt;$B$6*12,"",F52)</f>
        <v/>
      </c>
      <c r="C53" s="20">
        <f>IF(A53&gt;$B$6*12,"",$B$7)</f>
        <v/>
      </c>
      <c r="D53" s="20">
        <f>IF(A53&gt;$B$6*12,"",B53*$B$5/12)</f>
        <v/>
      </c>
      <c r="E53" s="20">
        <f>IF(A53&gt;$B$6*12,"",C53-D53)</f>
        <v/>
      </c>
      <c r="F53" s="20">
        <f>IF(A53&gt;$B$6*12,"",B53-E53)</f>
        <v/>
      </c>
    </row>
    <row r="54">
      <c r="A54" s="2" t="n">
        <v>44</v>
      </c>
      <c r="B54" s="20">
        <f>IF(A54&gt;$B$6*12,"",F53)</f>
        <v/>
      </c>
      <c r="C54" s="20">
        <f>IF(A54&gt;$B$6*12,"",$B$7)</f>
        <v/>
      </c>
      <c r="D54" s="20">
        <f>IF(A54&gt;$B$6*12,"",B54*$B$5/12)</f>
        <v/>
      </c>
      <c r="E54" s="20">
        <f>IF(A54&gt;$B$6*12,"",C54-D54)</f>
        <v/>
      </c>
      <c r="F54" s="20">
        <f>IF(A54&gt;$B$6*12,"",B54-E54)</f>
        <v/>
      </c>
    </row>
    <row r="55">
      <c r="A55" s="2" t="n">
        <v>45</v>
      </c>
      <c r="B55" s="20">
        <f>IF(A55&gt;$B$6*12,"",F54)</f>
        <v/>
      </c>
      <c r="C55" s="20">
        <f>IF(A55&gt;$B$6*12,"",$B$7)</f>
        <v/>
      </c>
      <c r="D55" s="20">
        <f>IF(A55&gt;$B$6*12,"",B55*$B$5/12)</f>
        <v/>
      </c>
      <c r="E55" s="20">
        <f>IF(A55&gt;$B$6*12,"",C55-D55)</f>
        <v/>
      </c>
      <c r="F55" s="20">
        <f>IF(A55&gt;$B$6*12,"",B55-E55)</f>
        <v/>
      </c>
    </row>
    <row r="56">
      <c r="A56" s="2" t="n">
        <v>46</v>
      </c>
      <c r="B56" s="20">
        <f>IF(A56&gt;$B$6*12,"",F55)</f>
        <v/>
      </c>
      <c r="C56" s="20">
        <f>IF(A56&gt;$B$6*12,"",$B$7)</f>
        <v/>
      </c>
      <c r="D56" s="20">
        <f>IF(A56&gt;$B$6*12,"",B56*$B$5/12)</f>
        <v/>
      </c>
      <c r="E56" s="20">
        <f>IF(A56&gt;$B$6*12,"",C56-D56)</f>
        <v/>
      </c>
      <c r="F56" s="20">
        <f>IF(A56&gt;$B$6*12,"",B56-E56)</f>
        <v/>
      </c>
    </row>
    <row r="57">
      <c r="A57" s="2" t="n">
        <v>47</v>
      </c>
      <c r="B57" s="20">
        <f>IF(A57&gt;$B$6*12,"",F56)</f>
        <v/>
      </c>
      <c r="C57" s="20">
        <f>IF(A57&gt;$B$6*12,"",$B$7)</f>
        <v/>
      </c>
      <c r="D57" s="20">
        <f>IF(A57&gt;$B$6*12,"",B57*$B$5/12)</f>
        <v/>
      </c>
      <c r="E57" s="20">
        <f>IF(A57&gt;$B$6*12,"",C57-D57)</f>
        <v/>
      </c>
      <c r="F57" s="20">
        <f>IF(A57&gt;$B$6*12,"",B57-E57)</f>
        <v/>
      </c>
    </row>
    <row r="58">
      <c r="A58" s="2" t="n">
        <v>48</v>
      </c>
      <c r="B58" s="20">
        <f>IF(A58&gt;$B$6*12,"",F57)</f>
        <v/>
      </c>
      <c r="C58" s="20">
        <f>IF(A58&gt;$B$6*12,"",$B$7)</f>
        <v/>
      </c>
      <c r="D58" s="20">
        <f>IF(A58&gt;$B$6*12,"",B58*$B$5/12)</f>
        <v/>
      </c>
      <c r="E58" s="20">
        <f>IF(A58&gt;$B$6*12,"",C58-D58)</f>
        <v/>
      </c>
      <c r="F58" s="20">
        <f>IF(A58&gt;$B$6*12,"",B58-E58)</f>
        <v/>
      </c>
    </row>
    <row r="59">
      <c r="A59" s="2" t="n">
        <v>49</v>
      </c>
      <c r="B59" s="20">
        <f>IF(A59&gt;$B$6*12,"",F58)</f>
        <v/>
      </c>
      <c r="C59" s="20">
        <f>IF(A59&gt;$B$6*12,"",$B$7)</f>
        <v/>
      </c>
      <c r="D59" s="20">
        <f>IF(A59&gt;$B$6*12,"",B59*$B$5/12)</f>
        <v/>
      </c>
      <c r="E59" s="20">
        <f>IF(A59&gt;$B$6*12,"",C59-D59)</f>
        <v/>
      </c>
      <c r="F59" s="20">
        <f>IF(A59&gt;$B$6*12,"",B59-E59)</f>
        <v/>
      </c>
    </row>
    <row r="60">
      <c r="A60" s="2" t="n">
        <v>50</v>
      </c>
      <c r="B60" s="20">
        <f>IF(A60&gt;$B$6*12,"",F59)</f>
        <v/>
      </c>
      <c r="C60" s="20">
        <f>IF(A60&gt;$B$6*12,"",$B$7)</f>
        <v/>
      </c>
      <c r="D60" s="20">
        <f>IF(A60&gt;$B$6*12,"",B60*$B$5/12)</f>
        <v/>
      </c>
      <c r="E60" s="20">
        <f>IF(A60&gt;$B$6*12,"",C60-D60)</f>
        <v/>
      </c>
      <c r="F60" s="20">
        <f>IF(A60&gt;$B$6*12,"",B60-E60)</f>
        <v/>
      </c>
    </row>
    <row r="61">
      <c r="A61" s="2" t="n">
        <v>51</v>
      </c>
      <c r="B61" s="20">
        <f>IF(A61&gt;$B$6*12,"",F60)</f>
        <v/>
      </c>
      <c r="C61" s="20">
        <f>IF(A61&gt;$B$6*12,"",$B$7)</f>
        <v/>
      </c>
      <c r="D61" s="20">
        <f>IF(A61&gt;$B$6*12,"",B61*$B$5/12)</f>
        <v/>
      </c>
      <c r="E61" s="20">
        <f>IF(A61&gt;$B$6*12,"",C61-D61)</f>
        <v/>
      </c>
      <c r="F61" s="20">
        <f>IF(A61&gt;$B$6*12,"",B61-E61)</f>
        <v/>
      </c>
    </row>
    <row r="62">
      <c r="A62" s="2" t="n">
        <v>52</v>
      </c>
      <c r="B62" s="20">
        <f>IF(A62&gt;$B$6*12,"",F61)</f>
        <v/>
      </c>
      <c r="C62" s="20">
        <f>IF(A62&gt;$B$6*12,"",$B$7)</f>
        <v/>
      </c>
      <c r="D62" s="20">
        <f>IF(A62&gt;$B$6*12,"",B62*$B$5/12)</f>
        <v/>
      </c>
      <c r="E62" s="20">
        <f>IF(A62&gt;$B$6*12,"",C62-D62)</f>
        <v/>
      </c>
      <c r="F62" s="20">
        <f>IF(A62&gt;$B$6*12,"",B62-E62)</f>
        <v/>
      </c>
    </row>
    <row r="63">
      <c r="A63" s="2" t="n">
        <v>53</v>
      </c>
      <c r="B63" s="20">
        <f>IF(A63&gt;$B$6*12,"",F62)</f>
        <v/>
      </c>
      <c r="C63" s="20">
        <f>IF(A63&gt;$B$6*12,"",$B$7)</f>
        <v/>
      </c>
      <c r="D63" s="20">
        <f>IF(A63&gt;$B$6*12,"",B63*$B$5/12)</f>
        <v/>
      </c>
      <c r="E63" s="20">
        <f>IF(A63&gt;$B$6*12,"",C63-D63)</f>
        <v/>
      </c>
      <c r="F63" s="20">
        <f>IF(A63&gt;$B$6*12,"",B63-E63)</f>
        <v/>
      </c>
    </row>
    <row r="64">
      <c r="A64" s="2" t="n">
        <v>54</v>
      </c>
      <c r="B64" s="20">
        <f>IF(A64&gt;$B$6*12,"",F63)</f>
        <v/>
      </c>
      <c r="C64" s="20">
        <f>IF(A64&gt;$B$6*12,"",$B$7)</f>
        <v/>
      </c>
      <c r="D64" s="20">
        <f>IF(A64&gt;$B$6*12,"",B64*$B$5/12)</f>
        <v/>
      </c>
      <c r="E64" s="20">
        <f>IF(A64&gt;$B$6*12,"",C64-D64)</f>
        <v/>
      </c>
      <c r="F64" s="20">
        <f>IF(A64&gt;$B$6*12,"",B64-E64)</f>
        <v/>
      </c>
    </row>
    <row r="65">
      <c r="A65" s="2" t="n">
        <v>55</v>
      </c>
      <c r="B65" s="20">
        <f>IF(A65&gt;$B$6*12,"",F64)</f>
        <v/>
      </c>
      <c r="C65" s="20">
        <f>IF(A65&gt;$B$6*12,"",$B$7)</f>
        <v/>
      </c>
      <c r="D65" s="20">
        <f>IF(A65&gt;$B$6*12,"",B65*$B$5/12)</f>
        <v/>
      </c>
      <c r="E65" s="20">
        <f>IF(A65&gt;$B$6*12,"",C65-D65)</f>
        <v/>
      </c>
      <c r="F65" s="20">
        <f>IF(A65&gt;$B$6*12,"",B65-E65)</f>
        <v/>
      </c>
    </row>
    <row r="66">
      <c r="A66" s="2" t="n">
        <v>56</v>
      </c>
      <c r="B66" s="20">
        <f>IF(A66&gt;$B$6*12,"",F65)</f>
        <v/>
      </c>
      <c r="C66" s="20">
        <f>IF(A66&gt;$B$6*12,"",$B$7)</f>
        <v/>
      </c>
      <c r="D66" s="20">
        <f>IF(A66&gt;$B$6*12,"",B66*$B$5/12)</f>
        <v/>
      </c>
      <c r="E66" s="20">
        <f>IF(A66&gt;$B$6*12,"",C66-D66)</f>
        <v/>
      </c>
      <c r="F66" s="20">
        <f>IF(A66&gt;$B$6*12,"",B66-E66)</f>
        <v/>
      </c>
    </row>
    <row r="67">
      <c r="A67" s="2" t="n">
        <v>57</v>
      </c>
      <c r="B67" s="20">
        <f>IF(A67&gt;$B$6*12,"",F66)</f>
        <v/>
      </c>
      <c r="C67" s="20">
        <f>IF(A67&gt;$B$6*12,"",$B$7)</f>
        <v/>
      </c>
      <c r="D67" s="20">
        <f>IF(A67&gt;$B$6*12,"",B67*$B$5/12)</f>
        <v/>
      </c>
      <c r="E67" s="20">
        <f>IF(A67&gt;$B$6*12,"",C67-D67)</f>
        <v/>
      </c>
      <c r="F67" s="20">
        <f>IF(A67&gt;$B$6*12,"",B67-E67)</f>
        <v/>
      </c>
    </row>
    <row r="68">
      <c r="A68" s="2" t="n">
        <v>58</v>
      </c>
      <c r="B68" s="20">
        <f>IF(A68&gt;$B$6*12,"",F67)</f>
        <v/>
      </c>
      <c r="C68" s="20">
        <f>IF(A68&gt;$B$6*12,"",$B$7)</f>
        <v/>
      </c>
      <c r="D68" s="20">
        <f>IF(A68&gt;$B$6*12,"",B68*$B$5/12)</f>
        <v/>
      </c>
      <c r="E68" s="20">
        <f>IF(A68&gt;$B$6*12,"",C68-D68)</f>
        <v/>
      </c>
      <c r="F68" s="20">
        <f>IF(A68&gt;$B$6*12,"",B68-E68)</f>
        <v/>
      </c>
    </row>
    <row r="69">
      <c r="A69" s="2" t="n">
        <v>59</v>
      </c>
      <c r="B69" s="20">
        <f>IF(A69&gt;$B$6*12,"",F68)</f>
        <v/>
      </c>
      <c r="C69" s="20">
        <f>IF(A69&gt;$B$6*12,"",$B$7)</f>
        <v/>
      </c>
      <c r="D69" s="20">
        <f>IF(A69&gt;$B$6*12,"",B69*$B$5/12)</f>
        <v/>
      </c>
      <c r="E69" s="20">
        <f>IF(A69&gt;$B$6*12,"",C69-D69)</f>
        <v/>
      </c>
      <c r="F69" s="20">
        <f>IF(A69&gt;$B$6*12,"",B69-E69)</f>
        <v/>
      </c>
    </row>
    <row r="70">
      <c r="A70" s="2" t="n">
        <v>60</v>
      </c>
      <c r="B70" s="20">
        <f>IF(A70&gt;$B$6*12,"",F69)</f>
        <v/>
      </c>
      <c r="C70" s="20">
        <f>IF(A70&gt;$B$6*12,"",$B$7)</f>
        <v/>
      </c>
      <c r="D70" s="20">
        <f>IF(A70&gt;$B$6*12,"",B70*$B$5/12)</f>
        <v/>
      </c>
      <c r="E70" s="20">
        <f>IF(A70&gt;$B$6*12,"",C70-D70)</f>
        <v/>
      </c>
      <c r="F70" s="20">
        <f>IF(A70&gt;$B$6*12,"",B70-E70)</f>
        <v/>
      </c>
    </row>
    <row r="71">
      <c r="A71" s="2" t="n">
        <v>61</v>
      </c>
      <c r="B71" s="20">
        <f>IF(A71&gt;$B$6*12,"",F70)</f>
        <v/>
      </c>
      <c r="C71" s="20">
        <f>IF(A71&gt;$B$6*12,"",$B$7)</f>
        <v/>
      </c>
      <c r="D71" s="20">
        <f>IF(A71&gt;$B$6*12,"",B71*$B$5/12)</f>
        <v/>
      </c>
      <c r="E71" s="20">
        <f>IF(A71&gt;$B$6*12,"",C71-D71)</f>
        <v/>
      </c>
      <c r="F71" s="20">
        <f>IF(A71&gt;$B$6*12,"",B71-E71)</f>
        <v/>
      </c>
    </row>
    <row r="72">
      <c r="A72" s="2" t="n">
        <v>62</v>
      </c>
      <c r="B72" s="20">
        <f>IF(A72&gt;$B$6*12,"",F71)</f>
        <v/>
      </c>
      <c r="C72" s="20">
        <f>IF(A72&gt;$B$6*12,"",$B$7)</f>
        <v/>
      </c>
      <c r="D72" s="20">
        <f>IF(A72&gt;$B$6*12,"",B72*$B$5/12)</f>
        <v/>
      </c>
      <c r="E72" s="20">
        <f>IF(A72&gt;$B$6*12,"",C72-D72)</f>
        <v/>
      </c>
      <c r="F72" s="20">
        <f>IF(A72&gt;$B$6*12,"",B72-E72)</f>
        <v/>
      </c>
    </row>
    <row r="73">
      <c r="A73" s="2" t="n">
        <v>63</v>
      </c>
      <c r="B73" s="20">
        <f>IF(A73&gt;$B$6*12,"",F72)</f>
        <v/>
      </c>
      <c r="C73" s="20">
        <f>IF(A73&gt;$B$6*12,"",$B$7)</f>
        <v/>
      </c>
      <c r="D73" s="20">
        <f>IF(A73&gt;$B$6*12,"",B73*$B$5/12)</f>
        <v/>
      </c>
      <c r="E73" s="20">
        <f>IF(A73&gt;$B$6*12,"",C73-D73)</f>
        <v/>
      </c>
      <c r="F73" s="20">
        <f>IF(A73&gt;$B$6*12,"",B73-E73)</f>
        <v/>
      </c>
    </row>
    <row r="74">
      <c r="A74" s="2" t="n">
        <v>64</v>
      </c>
      <c r="B74" s="20">
        <f>IF(A74&gt;$B$6*12,"",F73)</f>
        <v/>
      </c>
      <c r="C74" s="20">
        <f>IF(A74&gt;$B$6*12,"",$B$7)</f>
        <v/>
      </c>
      <c r="D74" s="20">
        <f>IF(A74&gt;$B$6*12,"",B74*$B$5/12)</f>
        <v/>
      </c>
      <c r="E74" s="20">
        <f>IF(A74&gt;$B$6*12,"",C74-D74)</f>
        <v/>
      </c>
      <c r="F74" s="20">
        <f>IF(A74&gt;$B$6*12,"",B74-E74)</f>
        <v/>
      </c>
    </row>
    <row r="75">
      <c r="A75" s="2" t="n">
        <v>65</v>
      </c>
      <c r="B75" s="20">
        <f>IF(A75&gt;$B$6*12,"",F74)</f>
        <v/>
      </c>
      <c r="C75" s="20">
        <f>IF(A75&gt;$B$6*12,"",$B$7)</f>
        <v/>
      </c>
      <c r="D75" s="20">
        <f>IF(A75&gt;$B$6*12,"",B75*$B$5/12)</f>
        <v/>
      </c>
      <c r="E75" s="20">
        <f>IF(A75&gt;$B$6*12,"",C75-D75)</f>
        <v/>
      </c>
      <c r="F75" s="20">
        <f>IF(A75&gt;$B$6*12,"",B75-E75)</f>
        <v/>
      </c>
    </row>
    <row r="76">
      <c r="A76" s="2" t="n">
        <v>66</v>
      </c>
      <c r="B76" s="20">
        <f>IF(A76&gt;$B$6*12,"",F75)</f>
        <v/>
      </c>
      <c r="C76" s="20">
        <f>IF(A76&gt;$B$6*12,"",$B$7)</f>
        <v/>
      </c>
      <c r="D76" s="20">
        <f>IF(A76&gt;$B$6*12,"",B76*$B$5/12)</f>
        <v/>
      </c>
      <c r="E76" s="20">
        <f>IF(A76&gt;$B$6*12,"",C76-D76)</f>
        <v/>
      </c>
      <c r="F76" s="20">
        <f>IF(A76&gt;$B$6*12,"",B76-E76)</f>
        <v/>
      </c>
    </row>
    <row r="77">
      <c r="A77" s="2" t="n">
        <v>67</v>
      </c>
      <c r="B77" s="20">
        <f>IF(A77&gt;$B$6*12,"",F76)</f>
        <v/>
      </c>
      <c r="C77" s="20">
        <f>IF(A77&gt;$B$6*12,"",$B$7)</f>
        <v/>
      </c>
      <c r="D77" s="20">
        <f>IF(A77&gt;$B$6*12,"",B77*$B$5/12)</f>
        <v/>
      </c>
      <c r="E77" s="20">
        <f>IF(A77&gt;$B$6*12,"",C77-D77)</f>
        <v/>
      </c>
      <c r="F77" s="20">
        <f>IF(A77&gt;$B$6*12,"",B77-E77)</f>
        <v/>
      </c>
    </row>
    <row r="78">
      <c r="A78" s="2" t="n">
        <v>68</v>
      </c>
      <c r="B78" s="20">
        <f>IF(A78&gt;$B$6*12,"",F77)</f>
        <v/>
      </c>
      <c r="C78" s="20">
        <f>IF(A78&gt;$B$6*12,"",$B$7)</f>
        <v/>
      </c>
      <c r="D78" s="20">
        <f>IF(A78&gt;$B$6*12,"",B78*$B$5/12)</f>
        <v/>
      </c>
      <c r="E78" s="20">
        <f>IF(A78&gt;$B$6*12,"",C78-D78)</f>
        <v/>
      </c>
      <c r="F78" s="20">
        <f>IF(A78&gt;$B$6*12,"",B78-E78)</f>
        <v/>
      </c>
    </row>
    <row r="79">
      <c r="A79" s="2" t="n">
        <v>69</v>
      </c>
      <c r="B79" s="20">
        <f>IF(A79&gt;$B$6*12,"",F78)</f>
        <v/>
      </c>
      <c r="C79" s="20">
        <f>IF(A79&gt;$B$6*12,"",$B$7)</f>
        <v/>
      </c>
      <c r="D79" s="20">
        <f>IF(A79&gt;$B$6*12,"",B79*$B$5/12)</f>
        <v/>
      </c>
      <c r="E79" s="20">
        <f>IF(A79&gt;$B$6*12,"",C79-D79)</f>
        <v/>
      </c>
      <c r="F79" s="20">
        <f>IF(A79&gt;$B$6*12,"",B79-E79)</f>
        <v/>
      </c>
    </row>
    <row r="80">
      <c r="A80" s="2" t="n">
        <v>70</v>
      </c>
      <c r="B80" s="20">
        <f>IF(A80&gt;$B$6*12,"",F79)</f>
        <v/>
      </c>
      <c r="C80" s="20">
        <f>IF(A80&gt;$B$6*12,"",$B$7)</f>
        <v/>
      </c>
      <c r="D80" s="20">
        <f>IF(A80&gt;$B$6*12,"",B80*$B$5/12)</f>
        <v/>
      </c>
      <c r="E80" s="20">
        <f>IF(A80&gt;$B$6*12,"",C80-D80)</f>
        <v/>
      </c>
      <c r="F80" s="20">
        <f>IF(A80&gt;$B$6*12,"",B80-E80)</f>
        <v/>
      </c>
    </row>
    <row r="81">
      <c r="A81" s="2" t="n">
        <v>71</v>
      </c>
      <c r="B81" s="20">
        <f>IF(A81&gt;$B$6*12,"",F80)</f>
        <v/>
      </c>
      <c r="C81" s="20">
        <f>IF(A81&gt;$B$6*12,"",$B$7)</f>
        <v/>
      </c>
      <c r="D81" s="20">
        <f>IF(A81&gt;$B$6*12,"",B81*$B$5/12)</f>
        <v/>
      </c>
      <c r="E81" s="20">
        <f>IF(A81&gt;$B$6*12,"",C81-D81)</f>
        <v/>
      </c>
      <c r="F81" s="20">
        <f>IF(A81&gt;$B$6*12,"",B81-E81)</f>
        <v/>
      </c>
    </row>
    <row r="82">
      <c r="A82" s="2" t="n">
        <v>72</v>
      </c>
      <c r="B82" s="20">
        <f>IF(A82&gt;$B$6*12,"",F81)</f>
        <v/>
      </c>
      <c r="C82" s="20">
        <f>IF(A82&gt;$B$6*12,"",$B$7)</f>
        <v/>
      </c>
      <c r="D82" s="20">
        <f>IF(A82&gt;$B$6*12,"",B82*$B$5/12)</f>
        <v/>
      </c>
      <c r="E82" s="20">
        <f>IF(A82&gt;$B$6*12,"",C82-D82)</f>
        <v/>
      </c>
      <c r="F82" s="20">
        <f>IF(A82&gt;$B$6*12,"",B82-E82)</f>
        <v/>
      </c>
    </row>
    <row r="83">
      <c r="A83" s="2" t="n">
        <v>73</v>
      </c>
      <c r="B83" s="20">
        <f>IF(A83&gt;$B$6*12,"",F82)</f>
        <v/>
      </c>
      <c r="C83" s="20">
        <f>IF(A83&gt;$B$6*12,"",$B$7)</f>
        <v/>
      </c>
      <c r="D83" s="20">
        <f>IF(A83&gt;$B$6*12,"",B83*$B$5/12)</f>
        <v/>
      </c>
      <c r="E83" s="20">
        <f>IF(A83&gt;$B$6*12,"",C83-D83)</f>
        <v/>
      </c>
      <c r="F83" s="20">
        <f>IF(A83&gt;$B$6*12,"",B83-E83)</f>
        <v/>
      </c>
    </row>
    <row r="84">
      <c r="A84" s="2" t="n">
        <v>74</v>
      </c>
      <c r="B84" s="20">
        <f>IF(A84&gt;$B$6*12,"",F83)</f>
        <v/>
      </c>
      <c r="C84" s="20">
        <f>IF(A84&gt;$B$6*12,"",$B$7)</f>
        <v/>
      </c>
      <c r="D84" s="20">
        <f>IF(A84&gt;$B$6*12,"",B84*$B$5/12)</f>
        <v/>
      </c>
      <c r="E84" s="20">
        <f>IF(A84&gt;$B$6*12,"",C84-D84)</f>
        <v/>
      </c>
      <c r="F84" s="20">
        <f>IF(A84&gt;$B$6*12,"",B84-E84)</f>
        <v/>
      </c>
    </row>
    <row r="85">
      <c r="A85" s="2" t="n">
        <v>75</v>
      </c>
      <c r="B85" s="20">
        <f>IF(A85&gt;$B$6*12,"",F84)</f>
        <v/>
      </c>
      <c r="C85" s="20">
        <f>IF(A85&gt;$B$6*12,"",$B$7)</f>
        <v/>
      </c>
      <c r="D85" s="20">
        <f>IF(A85&gt;$B$6*12,"",B85*$B$5/12)</f>
        <v/>
      </c>
      <c r="E85" s="20">
        <f>IF(A85&gt;$B$6*12,"",C85-D85)</f>
        <v/>
      </c>
      <c r="F85" s="20">
        <f>IF(A85&gt;$B$6*12,"",B85-E85)</f>
        <v/>
      </c>
    </row>
    <row r="86">
      <c r="A86" s="2" t="n">
        <v>76</v>
      </c>
      <c r="B86" s="20">
        <f>IF(A86&gt;$B$6*12,"",F85)</f>
        <v/>
      </c>
      <c r="C86" s="20">
        <f>IF(A86&gt;$B$6*12,"",$B$7)</f>
        <v/>
      </c>
      <c r="D86" s="20">
        <f>IF(A86&gt;$B$6*12,"",B86*$B$5/12)</f>
        <v/>
      </c>
      <c r="E86" s="20">
        <f>IF(A86&gt;$B$6*12,"",C86-D86)</f>
        <v/>
      </c>
      <c r="F86" s="20">
        <f>IF(A86&gt;$B$6*12,"",B86-E86)</f>
        <v/>
      </c>
    </row>
    <row r="87">
      <c r="A87" s="2" t="n">
        <v>77</v>
      </c>
      <c r="B87" s="20">
        <f>IF(A87&gt;$B$6*12,"",F86)</f>
        <v/>
      </c>
      <c r="C87" s="20">
        <f>IF(A87&gt;$B$6*12,"",$B$7)</f>
        <v/>
      </c>
      <c r="D87" s="20">
        <f>IF(A87&gt;$B$6*12,"",B87*$B$5/12)</f>
        <v/>
      </c>
      <c r="E87" s="20">
        <f>IF(A87&gt;$B$6*12,"",C87-D87)</f>
        <v/>
      </c>
      <c r="F87" s="20">
        <f>IF(A87&gt;$B$6*12,"",B87-E87)</f>
        <v/>
      </c>
    </row>
    <row r="88">
      <c r="A88" s="2" t="n">
        <v>78</v>
      </c>
      <c r="B88" s="20">
        <f>IF(A88&gt;$B$6*12,"",F87)</f>
        <v/>
      </c>
      <c r="C88" s="20">
        <f>IF(A88&gt;$B$6*12,"",$B$7)</f>
        <v/>
      </c>
      <c r="D88" s="20">
        <f>IF(A88&gt;$B$6*12,"",B88*$B$5/12)</f>
        <v/>
      </c>
      <c r="E88" s="20">
        <f>IF(A88&gt;$B$6*12,"",C88-D88)</f>
        <v/>
      </c>
      <c r="F88" s="20">
        <f>IF(A88&gt;$B$6*12,"",B88-E88)</f>
        <v/>
      </c>
    </row>
    <row r="89">
      <c r="A89" s="2" t="n">
        <v>79</v>
      </c>
      <c r="B89" s="20">
        <f>IF(A89&gt;$B$6*12,"",F88)</f>
        <v/>
      </c>
      <c r="C89" s="20">
        <f>IF(A89&gt;$B$6*12,"",$B$7)</f>
        <v/>
      </c>
      <c r="D89" s="20">
        <f>IF(A89&gt;$B$6*12,"",B89*$B$5/12)</f>
        <v/>
      </c>
      <c r="E89" s="20">
        <f>IF(A89&gt;$B$6*12,"",C89-D89)</f>
        <v/>
      </c>
      <c r="F89" s="20">
        <f>IF(A89&gt;$B$6*12,"",B89-E89)</f>
        <v/>
      </c>
    </row>
    <row r="90">
      <c r="A90" s="2" t="n">
        <v>80</v>
      </c>
      <c r="B90" s="20">
        <f>IF(A90&gt;$B$6*12,"",F89)</f>
        <v/>
      </c>
      <c r="C90" s="20">
        <f>IF(A90&gt;$B$6*12,"",$B$7)</f>
        <v/>
      </c>
      <c r="D90" s="20">
        <f>IF(A90&gt;$B$6*12,"",B90*$B$5/12)</f>
        <v/>
      </c>
      <c r="E90" s="20">
        <f>IF(A90&gt;$B$6*12,"",C90-D90)</f>
        <v/>
      </c>
      <c r="F90" s="20">
        <f>IF(A90&gt;$B$6*12,"",B90-E90)</f>
        <v/>
      </c>
    </row>
    <row r="91">
      <c r="A91" s="2" t="n">
        <v>81</v>
      </c>
      <c r="B91" s="20">
        <f>IF(A91&gt;$B$6*12,"",F90)</f>
        <v/>
      </c>
      <c r="C91" s="20">
        <f>IF(A91&gt;$B$6*12,"",$B$7)</f>
        <v/>
      </c>
      <c r="D91" s="20">
        <f>IF(A91&gt;$B$6*12,"",B91*$B$5/12)</f>
        <v/>
      </c>
      <c r="E91" s="20">
        <f>IF(A91&gt;$B$6*12,"",C91-D91)</f>
        <v/>
      </c>
      <c r="F91" s="20">
        <f>IF(A91&gt;$B$6*12,"",B91-E91)</f>
        <v/>
      </c>
    </row>
    <row r="92">
      <c r="A92" s="2" t="n">
        <v>82</v>
      </c>
      <c r="B92" s="20">
        <f>IF(A92&gt;$B$6*12,"",F91)</f>
        <v/>
      </c>
      <c r="C92" s="20">
        <f>IF(A92&gt;$B$6*12,"",$B$7)</f>
        <v/>
      </c>
      <c r="D92" s="20">
        <f>IF(A92&gt;$B$6*12,"",B92*$B$5/12)</f>
        <v/>
      </c>
      <c r="E92" s="20">
        <f>IF(A92&gt;$B$6*12,"",C92-D92)</f>
        <v/>
      </c>
      <c r="F92" s="20">
        <f>IF(A92&gt;$B$6*12,"",B92-E92)</f>
        <v/>
      </c>
    </row>
    <row r="93">
      <c r="A93" s="2" t="n">
        <v>83</v>
      </c>
      <c r="B93" s="20">
        <f>IF(A93&gt;$B$6*12,"",F92)</f>
        <v/>
      </c>
      <c r="C93" s="20">
        <f>IF(A93&gt;$B$6*12,"",$B$7)</f>
        <v/>
      </c>
      <c r="D93" s="20">
        <f>IF(A93&gt;$B$6*12,"",B93*$B$5/12)</f>
        <v/>
      </c>
      <c r="E93" s="20">
        <f>IF(A93&gt;$B$6*12,"",C93-D93)</f>
        <v/>
      </c>
      <c r="F93" s="20">
        <f>IF(A93&gt;$B$6*12,"",B93-E93)</f>
        <v/>
      </c>
    </row>
    <row r="94">
      <c r="A94" s="2" t="n">
        <v>84</v>
      </c>
      <c r="B94" s="20">
        <f>IF(A94&gt;$B$6*12,"",F93)</f>
        <v/>
      </c>
      <c r="C94" s="20">
        <f>IF(A94&gt;$B$6*12,"",$B$7)</f>
        <v/>
      </c>
      <c r="D94" s="20">
        <f>IF(A94&gt;$B$6*12,"",B94*$B$5/12)</f>
        <v/>
      </c>
      <c r="E94" s="20">
        <f>IF(A94&gt;$B$6*12,"",C94-D94)</f>
        <v/>
      </c>
      <c r="F94" s="20">
        <f>IF(A94&gt;$B$6*12,"",B94-E94)</f>
        <v/>
      </c>
    </row>
    <row r="95">
      <c r="A95" s="2" t="n">
        <v>85</v>
      </c>
      <c r="B95" s="20">
        <f>IF(A95&gt;$B$6*12,"",F94)</f>
        <v/>
      </c>
      <c r="C95" s="20">
        <f>IF(A95&gt;$B$6*12,"",$B$7)</f>
        <v/>
      </c>
      <c r="D95" s="20">
        <f>IF(A95&gt;$B$6*12,"",B95*$B$5/12)</f>
        <v/>
      </c>
      <c r="E95" s="20">
        <f>IF(A95&gt;$B$6*12,"",C95-D95)</f>
        <v/>
      </c>
      <c r="F95" s="20">
        <f>IF(A95&gt;$B$6*12,"",B95-E95)</f>
        <v/>
      </c>
    </row>
    <row r="96">
      <c r="A96" s="2" t="n">
        <v>86</v>
      </c>
      <c r="B96" s="20">
        <f>IF(A96&gt;$B$6*12,"",F95)</f>
        <v/>
      </c>
      <c r="C96" s="20">
        <f>IF(A96&gt;$B$6*12,"",$B$7)</f>
        <v/>
      </c>
      <c r="D96" s="20">
        <f>IF(A96&gt;$B$6*12,"",B96*$B$5/12)</f>
        <v/>
      </c>
      <c r="E96" s="20">
        <f>IF(A96&gt;$B$6*12,"",C96-D96)</f>
        <v/>
      </c>
      <c r="F96" s="20">
        <f>IF(A96&gt;$B$6*12,"",B96-E96)</f>
        <v/>
      </c>
    </row>
    <row r="97">
      <c r="A97" s="2" t="n">
        <v>87</v>
      </c>
      <c r="B97" s="20">
        <f>IF(A97&gt;$B$6*12,"",F96)</f>
        <v/>
      </c>
      <c r="C97" s="20">
        <f>IF(A97&gt;$B$6*12,"",$B$7)</f>
        <v/>
      </c>
      <c r="D97" s="20">
        <f>IF(A97&gt;$B$6*12,"",B97*$B$5/12)</f>
        <v/>
      </c>
      <c r="E97" s="20">
        <f>IF(A97&gt;$B$6*12,"",C97-D97)</f>
        <v/>
      </c>
      <c r="F97" s="20">
        <f>IF(A97&gt;$B$6*12,"",B97-E97)</f>
        <v/>
      </c>
    </row>
    <row r="98">
      <c r="A98" s="2" t="n">
        <v>88</v>
      </c>
      <c r="B98" s="20">
        <f>IF(A98&gt;$B$6*12,"",F97)</f>
        <v/>
      </c>
      <c r="C98" s="20">
        <f>IF(A98&gt;$B$6*12,"",$B$7)</f>
        <v/>
      </c>
      <c r="D98" s="20">
        <f>IF(A98&gt;$B$6*12,"",B98*$B$5/12)</f>
        <v/>
      </c>
      <c r="E98" s="20">
        <f>IF(A98&gt;$B$6*12,"",C98-D98)</f>
        <v/>
      </c>
      <c r="F98" s="20">
        <f>IF(A98&gt;$B$6*12,"",B98-E98)</f>
        <v/>
      </c>
    </row>
    <row r="99">
      <c r="A99" s="2" t="n">
        <v>89</v>
      </c>
      <c r="B99" s="20">
        <f>IF(A99&gt;$B$6*12,"",F98)</f>
        <v/>
      </c>
      <c r="C99" s="20">
        <f>IF(A99&gt;$B$6*12,"",$B$7)</f>
        <v/>
      </c>
      <c r="D99" s="20">
        <f>IF(A99&gt;$B$6*12,"",B99*$B$5/12)</f>
        <v/>
      </c>
      <c r="E99" s="20">
        <f>IF(A99&gt;$B$6*12,"",C99-D99)</f>
        <v/>
      </c>
      <c r="F99" s="20">
        <f>IF(A99&gt;$B$6*12,"",B99-E99)</f>
        <v/>
      </c>
    </row>
    <row r="100">
      <c r="A100" s="2" t="n">
        <v>90</v>
      </c>
      <c r="B100" s="20">
        <f>IF(A100&gt;$B$6*12,"",F99)</f>
        <v/>
      </c>
      <c r="C100" s="20">
        <f>IF(A100&gt;$B$6*12,"",$B$7)</f>
        <v/>
      </c>
      <c r="D100" s="20">
        <f>IF(A100&gt;$B$6*12,"",B100*$B$5/12)</f>
        <v/>
      </c>
      <c r="E100" s="20">
        <f>IF(A100&gt;$B$6*12,"",C100-D100)</f>
        <v/>
      </c>
      <c r="F100" s="20">
        <f>IF(A100&gt;$B$6*12,"",B100-E100)</f>
        <v/>
      </c>
    </row>
    <row r="101">
      <c r="A101" s="2" t="n">
        <v>91</v>
      </c>
      <c r="B101" s="20">
        <f>IF(A101&gt;$B$6*12,"",F100)</f>
        <v/>
      </c>
      <c r="C101" s="20">
        <f>IF(A101&gt;$B$6*12,"",$B$7)</f>
        <v/>
      </c>
      <c r="D101" s="20">
        <f>IF(A101&gt;$B$6*12,"",B101*$B$5/12)</f>
        <v/>
      </c>
      <c r="E101" s="20">
        <f>IF(A101&gt;$B$6*12,"",C101-D101)</f>
        <v/>
      </c>
      <c r="F101" s="20">
        <f>IF(A101&gt;$B$6*12,"",B101-E101)</f>
        <v/>
      </c>
    </row>
    <row r="102">
      <c r="A102" s="2" t="n">
        <v>92</v>
      </c>
      <c r="B102" s="20">
        <f>IF(A102&gt;$B$6*12,"",F101)</f>
        <v/>
      </c>
      <c r="C102" s="20">
        <f>IF(A102&gt;$B$6*12,"",$B$7)</f>
        <v/>
      </c>
      <c r="D102" s="20">
        <f>IF(A102&gt;$B$6*12,"",B102*$B$5/12)</f>
        <v/>
      </c>
      <c r="E102" s="20">
        <f>IF(A102&gt;$B$6*12,"",C102-D102)</f>
        <v/>
      </c>
      <c r="F102" s="20">
        <f>IF(A102&gt;$B$6*12,"",B102-E102)</f>
        <v/>
      </c>
    </row>
    <row r="103">
      <c r="A103" s="2" t="n">
        <v>93</v>
      </c>
      <c r="B103" s="20">
        <f>IF(A103&gt;$B$6*12,"",F102)</f>
        <v/>
      </c>
      <c r="C103" s="20">
        <f>IF(A103&gt;$B$6*12,"",$B$7)</f>
        <v/>
      </c>
      <c r="D103" s="20">
        <f>IF(A103&gt;$B$6*12,"",B103*$B$5/12)</f>
        <v/>
      </c>
      <c r="E103" s="20">
        <f>IF(A103&gt;$B$6*12,"",C103-D103)</f>
        <v/>
      </c>
      <c r="F103" s="20">
        <f>IF(A103&gt;$B$6*12,"",B103-E103)</f>
        <v/>
      </c>
    </row>
    <row r="104">
      <c r="A104" s="2" t="n">
        <v>94</v>
      </c>
      <c r="B104" s="20">
        <f>IF(A104&gt;$B$6*12,"",F103)</f>
        <v/>
      </c>
      <c r="C104" s="20">
        <f>IF(A104&gt;$B$6*12,"",$B$7)</f>
        <v/>
      </c>
      <c r="D104" s="20">
        <f>IF(A104&gt;$B$6*12,"",B104*$B$5/12)</f>
        <v/>
      </c>
      <c r="E104" s="20">
        <f>IF(A104&gt;$B$6*12,"",C104-D104)</f>
        <v/>
      </c>
      <c r="F104" s="20">
        <f>IF(A104&gt;$B$6*12,"",B104-E104)</f>
        <v/>
      </c>
    </row>
    <row r="105">
      <c r="A105" s="2" t="n">
        <v>95</v>
      </c>
      <c r="B105" s="20">
        <f>IF(A105&gt;$B$6*12,"",F104)</f>
        <v/>
      </c>
      <c r="C105" s="20">
        <f>IF(A105&gt;$B$6*12,"",$B$7)</f>
        <v/>
      </c>
      <c r="D105" s="20">
        <f>IF(A105&gt;$B$6*12,"",B105*$B$5/12)</f>
        <v/>
      </c>
      <c r="E105" s="20">
        <f>IF(A105&gt;$B$6*12,"",C105-D105)</f>
        <v/>
      </c>
      <c r="F105" s="20">
        <f>IF(A105&gt;$B$6*12,"",B105-E105)</f>
        <v/>
      </c>
    </row>
    <row r="106">
      <c r="A106" s="2" t="n">
        <v>96</v>
      </c>
      <c r="B106" s="20">
        <f>IF(A106&gt;$B$6*12,"",F105)</f>
        <v/>
      </c>
      <c r="C106" s="20">
        <f>IF(A106&gt;$B$6*12,"",$B$7)</f>
        <v/>
      </c>
      <c r="D106" s="20">
        <f>IF(A106&gt;$B$6*12,"",B106*$B$5/12)</f>
        <v/>
      </c>
      <c r="E106" s="20">
        <f>IF(A106&gt;$B$6*12,"",C106-D106)</f>
        <v/>
      </c>
      <c r="F106" s="20">
        <f>IF(A106&gt;$B$6*12,"",B106-E106)</f>
        <v/>
      </c>
    </row>
    <row r="107">
      <c r="A107" s="2" t="n">
        <v>97</v>
      </c>
      <c r="B107" s="20">
        <f>IF(A107&gt;$B$6*12,"",F106)</f>
        <v/>
      </c>
      <c r="C107" s="20">
        <f>IF(A107&gt;$B$6*12,"",$B$7)</f>
        <v/>
      </c>
      <c r="D107" s="20">
        <f>IF(A107&gt;$B$6*12,"",B107*$B$5/12)</f>
        <v/>
      </c>
      <c r="E107" s="20">
        <f>IF(A107&gt;$B$6*12,"",C107-D107)</f>
        <v/>
      </c>
      <c r="F107" s="20">
        <f>IF(A107&gt;$B$6*12,"",B107-E107)</f>
        <v/>
      </c>
    </row>
    <row r="108">
      <c r="A108" s="2" t="n">
        <v>98</v>
      </c>
      <c r="B108" s="20">
        <f>IF(A108&gt;$B$6*12,"",F107)</f>
        <v/>
      </c>
      <c r="C108" s="20">
        <f>IF(A108&gt;$B$6*12,"",$B$7)</f>
        <v/>
      </c>
      <c r="D108" s="20">
        <f>IF(A108&gt;$B$6*12,"",B108*$B$5/12)</f>
        <v/>
      </c>
      <c r="E108" s="20">
        <f>IF(A108&gt;$B$6*12,"",C108-D108)</f>
        <v/>
      </c>
      <c r="F108" s="20">
        <f>IF(A108&gt;$B$6*12,"",B108-E108)</f>
        <v/>
      </c>
    </row>
    <row r="109">
      <c r="A109" s="2" t="n">
        <v>99</v>
      </c>
      <c r="B109" s="20">
        <f>IF(A109&gt;$B$6*12,"",F108)</f>
        <v/>
      </c>
      <c r="C109" s="20">
        <f>IF(A109&gt;$B$6*12,"",$B$7)</f>
        <v/>
      </c>
      <c r="D109" s="20">
        <f>IF(A109&gt;$B$6*12,"",B109*$B$5/12)</f>
        <v/>
      </c>
      <c r="E109" s="20">
        <f>IF(A109&gt;$B$6*12,"",C109-D109)</f>
        <v/>
      </c>
      <c r="F109" s="20">
        <f>IF(A109&gt;$B$6*12,"",B109-E109)</f>
        <v/>
      </c>
    </row>
    <row r="110">
      <c r="A110" s="2" t="n">
        <v>100</v>
      </c>
      <c r="B110" s="20">
        <f>IF(A110&gt;$B$6*12,"",F109)</f>
        <v/>
      </c>
      <c r="C110" s="20">
        <f>IF(A110&gt;$B$6*12,"",$B$7)</f>
        <v/>
      </c>
      <c r="D110" s="20">
        <f>IF(A110&gt;$B$6*12,"",B110*$B$5/12)</f>
        <v/>
      </c>
      <c r="E110" s="20">
        <f>IF(A110&gt;$B$6*12,"",C110-D110)</f>
        <v/>
      </c>
      <c r="F110" s="20">
        <f>IF(A110&gt;$B$6*12,"",B110-E110)</f>
        <v/>
      </c>
    </row>
    <row r="111">
      <c r="A111" s="2" t="n">
        <v>101</v>
      </c>
      <c r="B111" s="20">
        <f>IF(A111&gt;$B$6*12,"",F110)</f>
        <v/>
      </c>
      <c r="C111" s="20">
        <f>IF(A111&gt;$B$6*12,"",$B$7)</f>
        <v/>
      </c>
      <c r="D111" s="20">
        <f>IF(A111&gt;$B$6*12,"",B111*$B$5/12)</f>
        <v/>
      </c>
      <c r="E111" s="20">
        <f>IF(A111&gt;$B$6*12,"",C111-D111)</f>
        <v/>
      </c>
      <c r="F111" s="20">
        <f>IF(A111&gt;$B$6*12,"",B111-E111)</f>
        <v/>
      </c>
    </row>
    <row r="112">
      <c r="A112" s="2" t="n">
        <v>102</v>
      </c>
      <c r="B112" s="20">
        <f>IF(A112&gt;$B$6*12,"",F111)</f>
        <v/>
      </c>
      <c r="C112" s="20">
        <f>IF(A112&gt;$B$6*12,"",$B$7)</f>
        <v/>
      </c>
      <c r="D112" s="20">
        <f>IF(A112&gt;$B$6*12,"",B112*$B$5/12)</f>
        <v/>
      </c>
      <c r="E112" s="20">
        <f>IF(A112&gt;$B$6*12,"",C112-D112)</f>
        <v/>
      </c>
      <c r="F112" s="20">
        <f>IF(A112&gt;$B$6*12,"",B112-E112)</f>
        <v/>
      </c>
    </row>
    <row r="113">
      <c r="A113" s="2" t="n">
        <v>103</v>
      </c>
      <c r="B113" s="20">
        <f>IF(A113&gt;$B$6*12,"",F112)</f>
        <v/>
      </c>
      <c r="C113" s="20">
        <f>IF(A113&gt;$B$6*12,"",$B$7)</f>
        <v/>
      </c>
      <c r="D113" s="20">
        <f>IF(A113&gt;$B$6*12,"",B113*$B$5/12)</f>
        <v/>
      </c>
      <c r="E113" s="20">
        <f>IF(A113&gt;$B$6*12,"",C113-D113)</f>
        <v/>
      </c>
      <c r="F113" s="20">
        <f>IF(A113&gt;$B$6*12,"",B113-E113)</f>
        <v/>
      </c>
    </row>
    <row r="114">
      <c r="A114" s="2" t="n">
        <v>104</v>
      </c>
      <c r="B114" s="20">
        <f>IF(A114&gt;$B$6*12,"",F113)</f>
        <v/>
      </c>
      <c r="C114" s="20">
        <f>IF(A114&gt;$B$6*12,"",$B$7)</f>
        <v/>
      </c>
      <c r="D114" s="20">
        <f>IF(A114&gt;$B$6*12,"",B114*$B$5/12)</f>
        <v/>
      </c>
      <c r="E114" s="20">
        <f>IF(A114&gt;$B$6*12,"",C114-D114)</f>
        <v/>
      </c>
      <c r="F114" s="20">
        <f>IF(A114&gt;$B$6*12,"",B114-E114)</f>
        <v/>
      </c>
    </row>
    <row r="115">
      <c r="A115" s="2" t="n">
        <v>105</v>
      </c>
      <c r="B115" s="20">
        <f>IF(A115&gt;$B$6*12,"",F114)</f>
        <v/>
      </c>
      <c r="C115" s="20">
        <f>IF(A115&gt;$B$6*12,"",$B$7)</f>
        <v/>
      </c>
      <c r="D115" s="20">
        <f>IF(A115&gt;$B$6*12,"",B115*$B$5/12)</f>
        <v/>
      </c>
      <c r="E115" s="20">
        <f>IF(A115&gt;$B$6*12,"",C115-D115)</f>
        <v/>
      </c>
      <c r="F115" s="20">
        <f>IF(A115&gt;$B$6*12,"",B115-E115)</f>
        <v/>
      </c>
    </row>
    <row r="116">
      <c r="A116" s="2" t="n">
        <v>106</v>
      </c>
      <c r="B116" s="20">
        <f>IF(A116&gt;$B$6*12,"",F115)</f>
        <v/>
      </c>
      <c r="C116" s="20">
        <f>IF(A116&gt;$B$6*12,"",$B$7)</f>
        <v/>
      </c>
      <c r="D116" s="20">
        <f>IF(A116&gt;$B$6*12,"",B116*$B$5/12)</f>
        <v/>
      </c>
      <c r="E116" s="20">
        <f>IF(A116&gt;$B$6*12,"",C116-D116)</f>
        <v/>
      </c>
      <c r="F116" s="20">
        <f>IF(A116&gt;$B$6*12,"",B116-E116)</f>
        <v/>
      </c>
    </row>
    <row r="117">
      <c r="A117" s="2" t="n">
        <v>107</v>
      </c>
      <c r="B117" s="20">
        <f>IF(A117&gt;$B$6*12,"",F116)</f>
        <v/>
      </c>
      <c r="C117" s="20">
        <f>IF(A117&gt;$B$6*12,"",$B$7)</f>
        <v/>
      </c>
      <c r="D117" s="20">
        <f>IF(A117&gt;$B$6*12,"",B117*$B$5/12)</f>
        <v/>
      </c>
      <c r="E117" s="20">
        <f>IF(A117&gt;$B$6*12,"",C117-D117)</f>
        <v/>
      </c>
      <c r="F117" s="20">
        <f>IF(A117&gt;$B$6*12,"",B117-E117)</f>
        <v/>
      </c>
    </row>
    <row r="118">
      <c r="A118" s="2" t="n">
        <v>108</v>
      </c>
      <c r="B118" s="20">
        <f>IF(A118&gt;$B$6*12,"",F117)</f>
        <v/>
      </c>
      <c r="C118" s="20">
        <f>IF(A118&gt;$B$6*12,"",$B$7)</f>
        <v/>
      </c>
      <c r="D118" s="20">
        <f>IF(A118&gt;$B$6*12,"",B118*$B$5/12)</f>
        <v/>
      </c>
      <c r="E118" s="20">
        <f>IF(A118&gt;$B$6*12,"",C118-D118)</f>
        <v/>
      </c>
      <c r="F118" s="20">
        <f>IF(A118&gt;$B$6*12,"",B118-E118)</f>
        <v/>
      </c>
    </row>
    <row r="119">
      <c r="A119" s="2" t="n">
        <v>109</v>
      </c>
      <c r="B119" s="20">
        <f>IF(A119&gt;$B$6*12,"",F118)</f>
        <v/>
      </c>
      <c r="C119" s="20">
        <f>IF(A119&gt;$B$6*12,"",$B$7)</f>
        <v/>
      </c>
      <c r="D119" s="20">
        <f>IF(A119&gt;$B$6*12,"",B119*$B$5/12)</f>
        <v/>
      </c>
      <c r="E119" s="20">
        <f>IF(A119&gt;$B$6*12,"",C119-D119)</f>
        <v/>
      </c>
      <c r="F119" s="20">
        <f>IF(A119&gt;$B$6*12,"",B119-E119)</f>
        <v/>
      </c>
    </row>
    <row r="120">
      <c r="A120" s="2" t="n">
        <v>110</v>
      </c>
      <c r="B120" s="20">
        <f>IF(A120&gt;$B$6*12,"",F119)</f>
        <v/>
      </c>
      <c r="C120" s="20">
        <f>IF(A120&gt;$B$6*12,"",$B$7)</f>
        <v/>
      </c>
      <c r="D120" s="20">
        <f>IF(A120&gt;$B$6*12,"",B120*$B$5/12)</f>
        <v/>
      </c>
      <c r="E120" s="20">
        <f>IF(A120&gt;$B$6*12,"",C120-D120)</f>
        <v/>
      </c>
      <c r="F120" s="20">
        <f>IF(A120&gt;$B$6*12,"",B120-E120)</f>
        <v/>
      </c>
    </row>
    <row r="121">
      <c r="A121" s="2" t="n">
        <v>111</v>
      </c>
      <c r="B121" s="20">
        <f>IF(A121&gt;$B$6*12,"",F120)</f>
        <v/>
      </c>
      <c r="C121" s="20">
        <f>IF(A121&gt;$B$6*12,"",$B$7)</f>
        <v/>
      </c>
      <c r="D121" s="20">
        <f>IF(A121&gt;$B$6*12,"",B121*$B$5/12)</f>
        <v/>
      </c>
      <c r="E121" s="20">
        <f>IF(A121&gt;$B$6*12,"",C121-D121)</f>
        <v/>
      </c>
      <c r="F121" s="20">
        <f>IF(A121&gt;$B$6*12,"",B121-E121)</f>
        <v/>
      </c>
    </row>
    <row r="122">
      <c r="A122" s="2" t="n">
        <v>112</v>
      </c>
      <c r="B122" s="20">
        <f>IF(A122&gt;$B$6*12,"",F121)</f>
        <v/>
      </c>
      <c r="C122" s="20">
        <f>IF(A122&gt;$B$6*12,"",$B$7)</f>
        <v/>
      </c>
      <c r="D122" s="20">
        <f>IF(A122&gt;$B$6*12,"",B122*$B$5/12)</f>
        <v/>
      </c>
      <c r="E122" s="20">
        <f>IF(A122&gt;$B$6*12,"",C122-D122)</f>
        <v/>
      </c>
      <c r="F122" s="20">
        <f>IF(A122&gt;$B$6*12,"",B122-E122)</f>
        <v/>
      </c>
    </row>
    <row r="123">
      <c r="A123" s="2" t="n">
        <v>113</v>
      </c>
      <c r="B123" s="20">
        <f>IF(A123&gt;$B$6*12,"",F122)</f>
        <v/>
      </c>
      <c r="C123" s="20">
        <f>IF(A123&gt;$B$6*12,"",$B$7)</f>
        <v/>
      </c>
      <c r="D123" s="20">
        <f>IF(A123&gt;$B$6*12,"",B123*$B$5/12)</f>
        <v/>
      </c>
      <c r="E123" s="20">
        <f>IF(A123&gt;$B$6*12,"",C123-D123)</f>
        <v/>
      </c>
      <c r="F123" s="20">
        <f>IF(A123&gt;$B$6*12,"",B123-E123)</f>
        <v/>
      </c>
    </row>
    <row r="124">
      <c r="A124" s="2" t="n">
        <v>114</v>
      </c>
      <c r="B124" s="20">
        <f>IF(A124&gt;$B$6*12,"",F123)</f>
        <v/>
      </c>
      <c r="C124" s="20">
        <f>IF(A124&gt;$B$6*12,"",$B$7)</f>
        <v/>
      </c>
      <c r="D124" s="20">
        <f>IF(A124&gt;$B$6*12,"",B124*$B$5/12)</f>
        <v/>
      </c>
      <c r="E124" s="20">
        <f>IF(A124&gt;$B$6*12,"",C124-D124)</f>
        <v/>
      </c>
      <c r="F124" s="20">
        <f>IF(A124&gt;$B$6*12,"",B124-E124)</f>
        <v/>
      </c>
    </row>
    <row r="125">
      <c r="A125" s="2" t="n">
        <v>115</v>
      </c>
      <c r="B125" s="20">
        <f>IF(A125&gt;$B$6*12,"",F124)</f>
        <v/>
      </c>
      <c r="C125" s="20">
        <f>IF(A125&gt;$B$6*12,"",$B$7)</f>
        <v/>
      </c>
      <c r="D125" s="20">
        <f>IF(A125&gt;$B$6*12,"",B125*$B$5/12)</f>
        <v/>
      </c>
      <c r="E125" s="20">
        <f>IF(A125&gt;$B$6*12,"",C125-D125)</f>
        <v/>
      </c>
      <c r="F125" s="20">
        <f>IF(A125&gt;$B$6*12,"",B125-E125)</f>
        <v/>
      </c>
    </row>
    <row r="126">
      <c r="A126" s="2" t="n">
        <v>116</v>
      </c>
      <c r="B126" s="20">
        <f>IF(A126&gt;$B$6*12,"",F125)</f>
        <v/>
      </c>
      <c r="C126" s="20">
        <f>IF(A126&gt;$B$6*12,"",$B$7)</f>
        <v/>
      </c>
      <c r="D126" s="20">
        <f>IF(A126&gt;$B$6*12,"",B126*$B$5/12)</f>
        <v/>
      </c>
      <c r="E126" s="20">
        <f>IF(A126&gt;$B$6*12,"",C126-D126)</f>
        <v/>
      </c>
      <c r="F126" s="20">
        <f>IF(A126&gt;$B$6*12,"",B126-E126)</f>
        <v/>
      </c>
    </row>
    <row r="127">
      <c r="A127" s="2" t="n">
        <v>117</v>
      </c>
      <c r="B127" s="20">
        <f>IF(A127&gt;$B$6*12,"",F126)</f>
        <v/>
      </c>
      <c r="C127" s="20">
        <f>IF(A127&gt;$B$6*12,"",$B$7)</f>
        <v/>
      </c>
      <c r="D127" s="20">
        <f>IF(A127&gt;$B$6*12,"",B127*$B$5/12)</f>
        <v/>
      </c>
      <c r="E127" s="20">
        <f>IF(A127&gt;$B$6*12,"",C127-D127)</f>
        <v/>
      </c>
      <c r="F127" s="20">
        <f>IF(A127&gt;$B$6*12,"",B127-E127)</f>
        <v/>
      </c>
    </row>
    <row r="128">
      <c r="A128" s="2" t="n">
        <v>118</v>
      </c>
      <c r="B128" s="20">
        <f>IF(A128&gt;$B$6*12,"",F127)</f>
        <v/>
      </c>
      <c r="C128" s="20">
        <f>IF(A128&gt;$B$6*12,"",$B$7)</f>
        <v/>
      </c>
      <c r="D128" s="20">
        <f>IF(A128&gt;$B$6*12,"",B128*$B$5/12)</f>
        <v/>
      </c>
      <c r="E128" s="20">
        <f>IF(A128&gt;$B$6*12,"",C128-D128)</f>
        <v/>
      </c>
      <c r="F128" s="20">
        <f>IF(A128&gt;$B$6*12,"",B128-E128)</f>
        <v/>
      </c>
    </row>
    <row r="129">
      <c r="A129" s="2" t="n">
        <v>119</v>
      </c>
      <c r="B129" s="20">
        <f>IF(A129&gt;$B$6*12,"",F128)</f>
        <v/>
      </c>
      <c r="C129" s="20">
        <f>IF(A129&gt;$B$6*12,"",$B$7)</f>
        <v/>
      </c>
      <c r="D129" s="20">
        <f>IF(A129&gt;$B$6*12,"",B129*$B$5/12)</f>
        <v/>
      </c>
      <c r="E129" s="20">
        <f>IF(A129&gt;$B$6*12,"",C129-D129)</f>
        <v/>
      </c>
      <c r="F129" s="20">
        <f>IF(A129&gt;$B$6*12,"",B129-E129)</f>
        <v/>
      </c>
    </row>
    <row r="130">
      <c r="A130" s="2" t="n">
        <v>120</v>
      </c>
      <c r="B130" s="20">
        <f>IF(A130&gt;$B$6*12,"",F129)</f>
        <v/>
      </c>
      <c r="C130" s="20">
        <f>IF(A130&gt;$B$6*12,"",$B$7)</f>
        <v/>
      </c>
      <c r="D130" s="20">
        <f>IF(A130&gt;$B$6*12,"",B130*$B$5/12)</f>
        <v/>
      </c>
      <c r="E130" s="20">
        <f>IF(A130&gt;$B$6*12,"",C130-D130)</f>
        <v/>
      </c>
      <c r="F130" s="20">
        <f>IF(A130&gt;$B$6*12,"",B130-E130)</f>
        <v/>
      </c>
    </row>
    <row r="131">
      <c r="A131" s="2" t="n">
        <v>121</v>
      </c>
      <c r="B131" s="20">
        <f>IF(A131&gt;$B$6*12,"",F130)</f>
        <v/>
      </c>
      <c r="C131" s="20">
        <f>IF(A131&gt;$B$6*12,"",$B$7)</f>
        <v/>
      </c>
      <c r="D131" s="20">
        <f>IF(A131&gt;$B$6*12,"",B131*$B$5/12)</f>
        <v/>
      </c>
      <c r="E131" s="20">
        <f>IF(A131&gt;$B$6*12,"",C131-D131)</f>
        <v/>
      </c>
      <c r="F131" s="20">
        <f>IF(A131&gt;$B$6*12,"",B131-E131)</f>
        <v/>
      </c>
    </row>
    <row r="132">
      <c r="A132" s="2" t="n">
        <v>122</v>
      </c>
      <c r="B132" s="20">
        <f>IF(A132&gt;$B$6*12,"",F131)</f>
        <v/>
      </c>
      <c r="C132" s="20">
        <f>IF(A132&gt;$B$6*12,"",$B$7)</f>
        <v/>
      </c>
      <c r="D132" s="20">
        <f>IF(A132&gt;$B$6*12,"",B132*$B$5/12)</f>
        <v/>
      </c>
      <c r="E132" s="20">
        <f>IF(A132&gt;$B$6*12,"",C132-D132)</f>
        <v/>
      </c>
      <c r="F132" s="20">
        <f>IF(A132&gt;$B$6*12,"",B132-E132)</f>
        <v/>
      </c>
    </row>
    <row r="133">
      <c r="A133" s="2" t="n">
        <v>123</v>
      </c>
      <c r="B133" s="20">
        <f>IF(A133&gt;$B$6*12,"",F132)</f>
        <v/>
      </c>
      <c r="C133" s="20">
        <f>IF(A133&gt;$B$6*12,"",$B$7)</f>
        <v/>
      </c>
      <c r="D133" s="20">
        <f>IF(A133&gt;$B$6*12,"",B133*$B$5/12)</f>
        <v/>
      </c>
      <c r="E133" s="20">
        <f>IF(A133&gt;$B$6*12,"",C133-D133)</f>
        <v/>
      </c>
      <c r="F133" s="20">
        <f>IF(A133&gt;$B$6*12,"",B133-E133)</f>
        <v/>
      </c>
    </row>
    <row r="134">
      <c r="A134" s="2" t="n">
        <v>124</v>
      </c>
      <c r="B134" s="20">
        <f>IF(A134&gt;$B$6*12,"",F133)</f>
        <v/>
      </c>
      <c r="C134" s="20">
        <f>IF(A134&gt;$B$6*12,"",$B$7)</f>
        <v/>
      </c>
      <c r="D134" s="20">
        <f>IF(A134&gt;$B$6*12,"",B134*$B$5/12)</f>
        <v/>
      </c>
      <c r="E134" s="20">
        <f>IF(A134&gt;$B$6*12,"",C134-D134)</f>
        <v/>
      </c>
      <c r="F134" s="20">
        <f>IF(A134&gt;$B$6*12,"",B134-E134)</f>
        <v/>
      </c>
    </row>
    <row r="135">
      <c r="A135" s="2" t="n">
        <v>125</v>
      </c>
      <c r="B135" s="20">
        <f>IF(A135&gt;$B$6*12,"",F134)</f>
        <v/>
      </c>
      <c r="C135" s="20">
        <f>IF(A135&gt;$B$6*12,"",$B$7)</f>
        <v/>
      </c>
      <c r="D135" s="20">
        <f>IF(A135&gt;$B$6*12,"",B135*$B$5/12)</f>
        <v/>
      </c>
      <c r="E135" s="20">
        <f>IF(A135&gt;$B$6*12,"",C135-D135)</f>
        <v/>
      </c>
      <c r="F135" s="20">
        <f>IF(A135&gt;$B$6*12,"",B135-E135)</f>
        <v/>
      </c>
    </row>
    <row r="136">
      <c r="A136" s="2" t="n">
        <v>126</v>
      </c>
      <c r="B136" s="20">
        <f>IF(A136&gt;$B$6*12,"",F135)</f>
        <v/>
      </c>
      <c r="C136" s="20">
        <f>IF(A136&gt;$B$6*12,"",$B$7)</f>
        <v/>
      </c>
      <c r="D136" s="20">
        <f>IF(A136&gt;$B$6*12,"",B136*$B$5/12)</f>
        <v/>
      </c>
      <c r="E136" s="20">
        <f>IF(A136&gt;$B$6*12,"",C136-D136)</f>
        <v/>
      </c>
      <c r="F136" s="20">
        <f>IF(A136&gt;$B$6*12,"",B136-E136)</f>
        <v/>
      </c>
    </row>
    <row r="137">
      <c r="A137" s="2" t="n">
        <v>127</v>
      </c>
      <c r="B137" s="20">
        <f>IF(A137&gt;$B$6*12,"",F136)</f>
        <v/>
      </c>
      <c r="C137" s="20">
        <f>IF(A137&gt;$B$6*12,"",$B$7)</f>
        <v/>
      </c>
      <c r="D137" s="20">
        <f>IF(A137&gt;$B$6*12,"",B137*$B$5/12)</f>
        <v/>
      </c>
      <c r="E137" s="20">
        <f>IF(A137&gt;$B$6*12,"",C137-D137)</f>
        <v/>
      </c>
      <c r="F137" s="20">
        <f>IF(A137&gt;$B$6*12,"",B137-E137)</f>
        <v/>
      </c>
    </row>
    <row r="138">
      <c r="A138" s="2" t="n">
        <v>128</v>
      </c>
      <c r="B138" s="20">
        <f>IF(A138&gt;$B$6*12,"",F137)</f>
        <v/>
      </c>
      <c r="C138" s="20">
        <f>IF(A138&gt;$B$6*12,"",$B$7)</f>
        <v/>
      </c>
      <c r="D138" s="20">
        <f>IF(A138&gt;$B$6*12,"",B138*$B$5/12)</f>
        <v/>
      </c>
      <c r="E138" s="20">
        <f>IF(A138&gt;$B$6*12,"",C138-D138)</f>
        <v/>
      </c>
      <c r="F138" s="20">
        <f>IF(A138&gt;$B$6*12,"",B138-E138)</f>
        <v/>
      </c>
    </row>
    <row r="139">
      <c r="A139" s="2" t="n">
        <v>129</v>
      </c>
      <c r="B139" s="20">
        <f>IF(A139&gt;$B$6*12,"",F138)</f>
        <v/>
      </c>
      <c r="C139" s="20">
        <f>IF(A139&gt;$B$6*12,"",$B$7)</f>
        <v/>
      </c>
      <c r="D139" s="20">
        <f>IF(A139&gt;$B$6*12,"",B139*$B$5/12)</f>
        <v/>
      </c>
      <c r="E139" s="20">
        <f>IF(A139&gt;$B$6*12,"",C139-D139)</f>
        <v/>
      </c>
      <c r="F139" s="20">
        <f>IF(A139&gt;$B$6*12,"",B139-E139)</f>
        <v/>
      </c>
    </row>
    <row r="140">
      <c r="A140" s="2" t="n">
        <v>130</v>
      </c>
      <c r="B140" s="20">
        <f>IF(A140&gt;$B$6*12,"",F139)</f>
        <v/>
      </c>
      <c r="C140" s="20">
        <f>IF(A140&gt;$B$6*12,"",$B$7)</f>
        <v/>
      </c>
      <c r="D140" s="20">
        <f>IF(A140&gt;$B$6*12,"",B140*$B$5/12)</f>
        <v/>
      </c>
      <c r="E140" s="20">
        <f>IF(A140&gt;$B$6*12,"",C140-D140)</f>
        <v/>
      </c>
      <c r="F140" s="20">
        <f>IF(A140&gt;$B$6*12,"",B140-E140)</f>
        <v/>
      </c>
    </row>
    <row r="141">
      <c r="A141" s="2" t="n">
        <v>131</v>
      </c>
      <c r="B141" s="20">
        <f>IF(A141&gt;$B$6*12,"",F140)</f>
        <v/>
      </c>
      <c r="C141" s="20">
        <f>IF(A141&gt;$B$6*12,"",$B$7)</f>
        <v/>
      </c>
      <c r="D141" s="20">
        <f>IF(A141&gt;$B$6*12,"",B141*$B$5/12)</f>
        <v/>
      </c>
      <c r="E141" s="20">
        <f>IF(A141&gt;$B$6*12,"",C141-D141)</f>
        <v/>
      </c>
      <c r="F141" s="20">
        <f>IF(A141&gt;$B$6*12,"",B141-E141)</f>
        <v/>
      </c>
    </row>
    <row r="142">
      <c r="A142" s="2" t="n">
        <v>132</v>
      </c>
      <c r="B142" s="20">
        <f>IF(A142&gt;$B$6*12,"",F141)</f>
        <v/>
      </c>
      <c r="C142" s="20">
        <f>IF(A142&gt;$B$6*12,"",$B$7)</f>
        <v/>
      </c>
      <c r="D142" s="20">
        <f>IF(A142&gt;$B$6*12,"",B142*$B$5/12)</f>
        <v/>
      </c>
      <c r="E142" s="20">
        <f>IF(A142&gt;$B$6*12,"",C142-D142)</f>
        <v/>
      </c>
      <c r="F142" s="20">
        <f>IF(A142&gt;$B$6*12,"",B142-E142)</f>
        <v/>
      </c>
    </row>
    <row r="143">
      <c r="A143" s="2" t="n">
        <v>133</v>
      </c>
      <c r="B143" s="20">
        <f>IF(A143&gt;$B$6*12,"",F142)</f>
        <v/>
      </c>
      <c r="C143" s="20">
        <f>IF(A143&gt;$B$6*12,"",$B$7)</f>
        <v/>
      </c>
      <c r="D143" s="20">
        <f>IF(A143&gt;$B$6*12,"",B143*$B$5/12)</f>
        <v/>
      </c>
      <c r="E143" s="20">
        <f>IF(A143&gt;$B$6*12,"",C143-D143)</f>
        <v/>
      </c>
      <c r="F143" s="20">
        <f>IF(A143&gt;$B$6*12,"",B143-E143)</f>
        <v/>
      </c>
    </row>
    <row r="144">
      <c r="A144" s="2" t="n">
        <v>134</v>
      </c>
      <c r="B144" s="20">
        <f>IF(A144&gt;$B$6*12,"",F143)</f>
        <v/>
      </c>
      <c r="C144" s="20">
        <f>IF(A144&gt;$B$6*12,"",$B$7)</f>
        <v/>
      </c>
      <c r="D144" s="20">
        <f>IF(A144&gt;$B$6*12,"",B144*$B$5/12)</f>
        <v/>
      </c>
      <c r="E144" s="20">
        <f>IF(A144&gt;$B$6*12,"",C144-D144)</f>
        <v/>
      </c>
      <c r="F144" s="20">
        <f>IF(A144&gt;$B$6*12,"",B144-E144)</f>
        <v/>
      </c>
    </row>
    <row r="145">
      <c r="A145" s="2" t="n">
        <v>135</v>
      </c>
      <c r="B145" s="20">
        <f>IF(A145&gt;$B$6*12,"",F144)</f>
        <v/>
      </c>
      <c r="C145" s="20">
        <f>IF(A145&gt;$B$6*12,"",$B$7)</f>
        <v/>
      </c>
      <c r="D145" s="20">
        <f>IF(A145&gt;$B$6*12,"",B145*$B$5/12)</f>
        <v/>
      </c>
      <c r="E145" s="20">
        <f>IF(A145&gt;$B$6*12,"",C145-D145)</f>
        <v/>
      </c>
      <c r="F145" s="20">
        <f>IF(A145&gt;$B$6*12,"",B145-E145)</f>
        <v/>
      </c>
    </row>
    <row r="146">
      <c r="A146" s="2" t="n">
        <v>136</v>
      </c>
      <c r="B146" s="20">
        <f>IF(A146&gt;$B$6*12,"",F145)</f>
        <v/>
      </c>
      <c r="C146" s="20">
        <f>IF(A146&gt;$B$6*12,"",$B$7)</f>
        <v/>
      </c>
      <c r="D146" s="20">
        <f>IF(A146&gt;$B$6*12,"",B146*$B$5/12)</f>
        <v/>
      </c>
      <c r="E146" s="20">
        <f>IF(A146&gt;$B$6*12,"",C146-D146)</f>
        <v/>
      </c>
      <c r="F146" s="20">
        <f>IF(A146&gt;$B$6*12,"",B146-E146)</f>
        <v/>
      </c>
    </row>
    <row r="147">
      <c r="A147" s="2" t="n">
        <v>137</v>
      </c>
      <c r="B147" s="20">
        <f>IF(A147&gt;$B$6*12,"",F146)</f>
        <v/>
      </c>
      <c r="C147" s="20">
        <f>IF(A147&gt;$B$6*12,"",$B$7)</f>
        <v/>
      </c>
      <c r="D147" s="20">
        <f>IF(A147&gt;$B$6*12,"",B147*$B$5/12)</f>
        <v/>
      </c>
      <c r="E147" s="20">
        <f>IF(A147&gt;$B$6*12,"",C147-D147)</f>
        <v/>
      </c>
      <c r="F147" s="20">
        <f>IF(A147&gt;$B$6*12,"",B147-E147)</f>
        <v/>
      </c>
    </row>
    <row r="148">
      <c r="A148" s="2" t="n">
        <v>138</v>
      </c>
      <c r="B148" s="20">
        <f>IF(A148&gt;$B$6*12,"",F147)</f>
        <v/>
      </c>
      <c r="C148" s="20">
        <f>IF(A148&gt;$B$6*12,"",$B$7)</f>
        <v/>
      </c>
      <c r="D148" s="20">
        <f>IF(A148&gt;$B$6*12,"",B148*$B$5/12)</f>
        <v/>
      </c>
      <c r="E148" s="20">
        <f>IF(A148&gt;$B$6*12,"",C148-D148)</f>
        <v/>
      </c>
      <c r="F148" s="20">
        <f>IF(A148&gt;$B$6*12,"",B148-E148)</f>
        <v/>
      </c>
    </row>
    <row r="149">
      <c r="A149" s="2" t="n">
        <v>139</v>
      </c>
      <c r="B149" s="20">
        <f>IF(A149&gt;$B$6*12,"",F148)</f>
        <v/>
      </c>
      <c r="C149" s="20">
        <f>IF(A149&gt;$B$6*12,"",$B$7)</f>
        <v/>
      </c>
      <c r="D149" s="20">
        <f>IF(A149&gt;$B$6*12,"",B149*$B$5/12)</f>
        <v/>
      </c>
      <c r="E149" s="20">
        <f>IF(A149&gt;$B$6*12,"",C149-D149)</f>
        <v/>
      </c>
      <c r="F149" s="20">
        <f>IF(A149&gt;$B$6*12,"",B149-E149)</f>
        <v/>
      </c>
    </row>
    <row r="150">
      <c r="A150" s="2" t="n">
        <v>140</v>
      </c>
      <c r="B150" s="20">
        <f>IF(A150&gt;$B$6*12,"",F149)</f>
        <v/>
      </c>
      <c r="C150" s="20">
        <f>IF(A150&gt;$B$6*12,"",$B$7)</f>
        <v/>
      </c>
      <c r="D150" s="20">
        <f>IF(A150&gt;$B$6*12,"",B150*$B$5/12)</f>
        <v/>
      </c>
      <c r="E150" s="20">
        <f>IF(A150&gt;$B$6*12,"",C150-D150)</f>
        <v/>
      </c>
      <c r="F150" s="20">
        <f>IF(A150&gt;$B$6*12,"",B150-E150)</f>
        <v/>
      </c>
    </row>
    <row r="151">
      <c r="A151" s="2" t="n">
        <v>141</v>
      </c>
      <c r="B151" s="20">
        <f>IF(A151&gt;$B$6*12,"",F150)</f>
        <v/>
      </c>
      <c r="C151" s="20">
        <f>IF(A151&gt;$B$6*12,"",$B$7)</f>
        <v/>
      </c>
      <c r="D151" s="20">
        <f>IF(A151&gt;$B$6*12,"",B151*$B$5/12)</f>
        <v/>
      </c>
      <c r="E151" s="20">
        <f>IF(A151&gt;$B$6*12,"",C151-D151)</f>
        <v/>
      </c>
      <c r="F151" s="20">
        <f>IF(A151&gt;$B$6*12,"",B151-E151)</f>
        <v/>
      </c>
    </row>
    <row r="152">
      <c r="A152" s="2" t="n">
        <v>142</v>
      </c>
      <c r="B152" s="20">
        <f>IF(A152&gt;$B$6*12,"",F151)</f>
        <v/>
      </c>
      <c r="C152" s="20">
        <f>IF(A152&gt;$B$6*12,"",$B$7)</f>
        <v/>
      </c>
      <c r="D152" s="20">
        <f>IF(A152&gt;$B$6*12,"",B152*$B$5/12)</f>
        <v/>
      </c>
      <c r="E152" s="20">
        <f>IF(A152&gt;$B$6*12,"",C152-D152)</f>
        <v/>
      </c>
      <c r="F152" s="20">
        <f>IF(A152&gt;$B$6*12,"",B152-E152)</f>
        <v/>
      </c>
    </row>
    <row r="153">
      <c r="A153" s="2" t="n">
        <v>143</v>
      </c>
      <c r="B153" s="20">
        <f>IF(A153&gt;$B$6*12,"",F152)</f>
        <v/>
      </c>
      <c r="C153" s="20">
        <f>IF(A153&gt;$B$6*12,"",$B$7)</f>
        <v/>
      </c>
      <c r="D153" s="20">
        <f>IF(A153&gt;$B$6*12,"",B153*$B$5/12)</f>
        <v/>
      </c>
      <c r="E153" s="20">
        <f>IF(A153&gt;$B$6*12,"",C153-D153)</f>
        <v/>
      </c>
      <c r="F153" s="20">
        <f>IF(A153&gt;$B$6*12,"",B153-E153)</f>
        <v/>
      </c>
    </row>
    <row r="154">
      <c r="A154" s="2" t="n">
        <v>144</v>
      </c>
      <c r="B154" s="20">
        <f>IF(A154&gt;$B$6*12,"",F153)</f>
        <v/>
      </c>
      <c r="C154" s="20">
        <f>IF(A154&gt;$B$6*12,"",$B$7)</f>
        <v/>
      </c>
      <c r="D154" s="20">
        <f>IF(A154&gt;$B$6*12,"",B154*$B$5/12)</f>
        <v/>
      </c>
      <c r="E154" s="20">
        <f>IF(A154&gt;$B$6*12,"",C154-D154)</f>
        <v/>
      </c>
      <c r="F154" s="20">
        <f>IF(A154&gt;$B$6*12,"",B154-E154)</f>
        <v/>
      </c>
    </row>
    <row r="155">
      <c r="A155" s="2" t="n">
        <v>145</v>
      </c>
      <c r="B155" s="20">
        <f>IF(A155&gt;$B$6*12,"",F154)</f>
        <v/>
      </c>
      <c r="C155" s="20">
        <f>IF(A155&gt;$B$6*12,"",$B$7)</f>
        <v/>
      </c>
      <c r="D155" s="20">
        <f>IF(A155&gt;$B$6*12,"",B155*$B$5/12)</f>
        <v/>
      </c>
      <c r="E155" s="20">
        <f>IF(A155&gt;$B$6*12,"",C155-D155)</f>
        <v/>
      </c>
      <c r="F155" s="20">
        <f>IF(A155&gt;$B$6*12,"",B155-E155)</f>
        <v/>
      </c>
    </row>
    <row r="156">
      <c r="A156" s="2" t="n">
        <v>146</v>
      </c>
      <c r="B156" s="20">
        <f>IF(A156&gt;$B$6*12,"",F155)</f>
        <v/>
      </c>
      <c r="C156" s="20">
        <f>IF(A156&gt;$B$6*12,"",$B$7)</f>
        <v/>
      </c>
      <c r="D156" s="20">
        <f>IF(A156&gt;$B$6*12,"",B156*$B$5/12)</f>
        <v/>
      </c>
      <c r="E156" s="20">
        <f>IF(A156&gt;$B$6*12,"",C156-D156)</f>
        <v/>
      </c>
      <c r="F156" s="20">
        <f>IF(A156&gt;$B$6*12,"",B156-E156)</f>
        <v/>
      </c>
    </row>
    <row r="157">
      <c r="A157" s="2" t="n">
        <v>147</v>
      </c>
      <c r="B157" s="20">
        <f>IF(A157&gt;$B$6*12,"",F156)</f>
        <v/>
      </c>
      <c r="C157" s="20">
        <f>IF(A157&gt;$B$6*12,"",$B$7)</f>
        <v/>
      </c>
      <c r="D157" s="20">
        <f>IF(A157&gt;$B$6*12,"",B157*$B$5/12)</f>
        <v/>
      </c>
      <c r="E157" s="20">
        <f>IF(A157&gt;$B$6*12,"",C157-D157)</f>
        <v/>
      </c>
      <c r="F157" s="20">
        <f>IF(A157&gt;$B$6*12,"",B157-E157)</f>
        <v/>
      </c>
    </row>
    <row r="158">
      <c r="A158" s="2" t="n">
        <v>148</v>
      </c>
      <c r="B158" s="20">
        <f>IF(A158&gt;$B$6*12,"",F157)</f>
        <v/>
      </c>
      <c r="C158" s="20">
        <f>IF(A158&gt;$B$6*12,"",$B$7)</f>
        <v/>
      </c>
      <c r="D158" s="20">
        <f>IF(A158&gt;$B$6*12,"",B158*$B$5/12)</f>
        <v/>
      </c>
      <c r="E158" s="20">
        <f>IF(A158&gt;$B$6*12,"",C158-D158)</f>
        <v/>
      </c>
      <c r="F158" s="20">
        <f>IF(A158&gt;$B$6*12,"",B158-E158)</f>
        <v/>
      </c>
    </row>
    <row r="159">
      <c r="A159" s="2" t="n">
        <v>149</v>
      </c>
      <c r="B159" s="20">
        <f>IF(A159&gt;$B$6*12,"",F158)</f>
        <v/>
      </c>
      <c r="C159" s="20">
        <f>IF(A159&gt;$B$6*12,"",$B$7)</f>
        <v/>
      </c>
      <c r="D159" s="20">
        <f>IF(A159&gt;$B$6*12,"",B159*$B$5/12)</f>
        <v/>
      </c>
      <c r="E159" s="20">
        <f>IF(A159&gt;$B$6*12,"",C159-D159)</f>
        <v/>
      </c>
      <c r="F159" s="20">
        <f>IF(A159&gt;$B$6*12,"",B159-E159)</f>
        <v/>
      </c>
    </row>
    <row r="160">
      <c r="A160" s="2" t="n">
        <v>150</v>
      </c>
      <c r="B160" s="20">
        <f>IF(A160&gt;$B$6*12,"",F159)</f>
        <v/>
      </c>
      <c r="C160" s="20">
        <f>IF(A160&gt;$B$6*12,"",$B$7)</f>
        <v/>
      </c>
      <c r="D160" s="20">
        <f>IF(A160&gt;$B$6*12,"",B160*$B$5/12)</f>
        <v/>
      </c>
      <c r="E160" s="20">
        <f>IF(A160&gt;$B$6*12,"",C160-D160)</f>
        <v/>
      </c>
      <c r="F160" s="20">
        <f>IF(A160&gt;$B$6*12,"",B160-E160)</f>
        <v/>
      </c>
    </row>
    <row r="161">
      <c r="A161" s="2" t="n">
        <v>151</v>
      </c>
      <c r="B161" s="20">
        <f>IF(A161&gt;$B$6*12,"",F160)</f>
        <v/>
      </c>
      <c r="C161" s="20">
        <f>IF(A161&gt;$B$6*12,"",$B$7)</f>
        <v/>
      </c>
      <c r="D161" s="20">
        <f>IF(A161&gt;$B$6*12,"",B161*$B$5/12)</f>
        <v/>
      </c>
      <c r="E161" s="20">
        <f>IF(A161&gt;$B$6*12,"",C161-D161)</f>
        <v/>
      </c>
      <c r="F161" s="20">
        <f>IF(A161&gt;$B$6*12,"",B161-E161)</f>
        <v/>
      </c>
    </row>
    <row r="162">
      <c r="A162" s="2" t="n">
        <v>152</v>
      </c>
      <c r="B162" s="20">
        <f>IF(A162&gt;$B$6*12,"",F161)</f>
        <v/>
      </c>
      <c r="C162" s="20">
        <f>IF(A162&gt;$B$6*12,"",$B$7)</f>
        <v/>
      </c>
      <c r="D162" s="20">
        <f>IF(A162&gt;$B$6*12,"",B162*$B$5/12)</f>
        <v/>
      </c>
      <c r="E162" s="20">
        <f>IF(A162&gt;$B$6*12,"",C162-D162)</f>
        <v/>
      </c>
      <c r="F162" s="20">
        <f>IF(A162&gt;$B$6*12,"",B162-E162)</f>
        <v/>
      </c>
    </row>
    <row r="163">
      <c r="A163" s="2" t="n">
        <v>153</v>
      </c>
      <c r="B163" s="20">
        <f>IF(A163&gt;$B$6*12,"",F162)</f>
        <v/>
      </c>
      <c r="C163" s="20">
        <f>IF(A163&gt;$B$6*12,"",$B$7)</f>
        <v/>
      </c>
      <c r="D163" s="20">
        <f>IF(A163&gt;$B$6*12,"",B163*$B$5/12)</f>
        <v/>
      </c>
      <c r="E163" s="20">
        <f>IF(A163&gt;$B$6*12,"",C163-D163)</f>
        <v/>
      </c>
      <c r="F163" s="20">
        <f>IF(A163&gt;$B$6*12,"",B163-E163)</f>
        <v/>
      </c>
    </row>
    <row r="164">
      <c r="A164" s="2" t="n">
        <v>154</v>
      </c>
      <c r="B164" s="20">
        <f>IF(A164&gt;$B$6*12,"",F163)</f>
        <v/>
      </c>
      <c r="C164" s="20">
        <f>IF(A164&gt;$B$6*12,"",$B$7)</f>
        <v/>
      </c>
      <c r="D164" s="20">
        <f>IF(A164&gt;$B$6*12,"",B164*$B$5/12)</f>
        <v/>
      </c>
      <c r="E164" s="20">
        <f>IF(A164&gt;$B$6*12,"",C164-D164)</f>
        <v/>
      </c>
      <c r="F164" s="20">
        <f>IF(A164&gt;$B$6*12,"",B164-E164)</f>
        <v/>
      </c>
    </row>
    <row r="165">
      <c r="A165" s="2" t="n">
        <v>155</v>
      </c>
      <c r="B165" s="20">
        <f>IF(A165&gt;$B$6*12,"",F164)</f>
        <v/>
      </c>
      <c r="C165" s="20">
        <f>IF(A165&gt;$B$6*12,"",$B$7)</f>
        <v/>
      </c>
      <c r="D165" s="20">
        <f>IF(A165&gt;$B$6*12,"",B165*$B$5/12)</f>
        <v/>
      </c>
      <c r="E165" s="20">
        <f>IF(A165&gt;$B$6*12,"",C165-D165)</f>
        <v/>
      </c>
      <c r="F165" s="20">
        <f>IF(A165&gt;$B$6*12,"",B165-E165)</f>
        <v/>
      </c>
    </row>
    <row r="166">
      <c r="A166" s="2" t="n">
        <v>156</v>
      </c>
      <c r="B166" s="20">
        <f>IF(A166&gt;$B$6*12,"",F165)</f>
        <v/>
      </c>
      <c r="C166" s="20">
        <f>IF(A166&gt;$B$6*12,"",$B$7)</f>
        <v/>
      </c>
      <c r="D166" s="20">
        <f>IF(A166&gt;$B$6*12,"",B166*$B$5/12)</f>
        <v/>
      </c>
      <c r="E166" s="20">
        <f>IF(A166&gt;$B$6*12,"",C166-D166)</f>
        <v/>
      </c>
      <c r="F166" s="20">
        <f>IF(A166&gt;$B$6*12,"",B166-E166)</f>
        <v/>
      </c>
    </row>
    <row r="167">
      <c r="A167" s="2" t="n">
        <v>157</v>
      </c>
      <c r="B167" s="20">
        <f>IF(A167&gt;$B$6*12,"",F166)</f>
        <v/>
      </c>
      <c r="C167" s="20">
        <f>IF(A167&gt;$B$6*12,"",$B$7)</f>
        <v/>
      </c>
      <c r="D167" s="20">
        <f>IF(A167&gt;$B$6*12,"",B167*$B$5/12)</f>
        <v/>
      </c>
      <c r="E167" s="20">
        <f>IF(A167&gt;$B$6*12,"",C167-D167)</f>
        <v/>
      </c>
      <c r="F167" s="20">
        <f>IF(A167&gt;$B$6*12,"",B167-E167)</f>
        <v/>
      </c>
    </row>
    <row r="168">
      <c r="A168" s="2" t="n">
        <v>158</v>
      </c>
      <c r="B168" s="20">
        <f>IF(A168&gt;$B$6*12,"",F167)</f>
        <v/>
      </c>
      <c r="C168" s="20">
        <f>IF(A168&gt;$B$6*12,"",$B$7)</f>
        <v/>
      </c>
      <c r="D168" s="20">
        <f>IF(A168&gt;$B$6*12,"",B168*$B$5/12)</f>
        <v/>
      </c>
      <c r="E168" s="20">
        <f>IF(A168&gt;$B$6*12,"",C168-D168)</f>
        <v/>
      </c>
      <c r="F168" s="20">
        <f>IF(A168&gt;$B$6*12,"",B168-E168)</f>
        <v/>
      </c>
    </row>
    <row r="169">
      <c r="A169" s="2" t="n">
        <v>159</v>
      </c>
      <c r="B169" s="20">
        <f>IF(A169&gt;$B$6*12,"",F168)</f>
        <v/>
      </c>
      <c r="C169" s="20">
        <f>IF(A169&gt;$B$6*12,"",$B$7)</f>
        <v/>
      </c>
      <c r="D169" s="20">
        <f>IF(A169&gt;$B$6*12,"",B169*$B$5/12)</f>
        <v/>
      </c>
      <c r="E169" s="20">
        <f>IF(A169&gt;$B$6*12,"",C169-D169)</f>
        <v/>
      </c>
      <c r="F169" s="20">
        <f>IF(A169&gt;$B$6*12,"",B169-E169)</f>
        <v/>
      </c>
    </row>
    <row r="170">
      <c r="A170" s="2" t="n">
        <v>160</v>
      </c>
      <c r="B170" s="20">
        <f>IF(A170&gt;$B$6*12,"",F169)</f>
        <v/>
      </c>
      <c r="C170" s="20">
        <f>IF(A170&gt;$B$6*12,"",$B$7)</f>
        <v/>
      </c>
      <c r="D170" s="20">
        <f>IF(A170&gt;$B$6*12,"",B170*$B$5/12)</f>
        <v/>
      </c>
      <c r="E170" s="20">
        <f>IF(A170&gt;$B$6*12,"",C170-D170)</f>
        <v/>
      </c>
      <c r="F170" s="20">
        <f>IF(A170&gt;$B$6*12,"",B170-E170)</f>
        <v/>
      </c>
    </row>
    <row r="171">
      <c r="A171" s="2" t="n">
        <v>161</v>
      </c>
      <c r="B171" s="20">
        <f>IF(A171&gt;$B$6*12,"",F170)</f>
        <v/>
      </c>
      <c r="C171" s="20">
        <f>IF(A171&gt;$B$6*12,"",$B$7)</f>
        <v/>
      </c>
      <c r="D171" s="20">
        <f>IF(A171&gt;$B$6*12,"",B171*$B$5/12)</f>
        <v/>
      </c>
      <c r="E171" s="20">
        <f>IF(A171&gt;$B$6*12,"",C171-D171)</f>
        <v/>
      </c>
      <c r="F171" s="20">
        <f>IF(A171&gt;$B$6*12,"",B171-E171)</f>
        <v/>
      </c>
    </row>
    <row r="172">
      <c r="A172" s="2" t="n">
        <v>162</v>
      </c>
      <c r="B172" s="20">
        <f>IF(A172&gt;$B$6*12,"",F171)</f>
        <v/>
      </c>
      <c r="C172" s="20">
        <f>IF(A172&gt;$B$6*12,"",$B$7)</f>
        <v/>
      </c>
      <c r="D172" s="20">
        <f>IF(A172&gt;$B$6*12,"",B172*$B$5/12)</f>
        <v/>
      </c>
      <c r="E172" s="20">
        <f>IF(A172&gt;$B$6*12,"",C172-D172)</f>
        <v/>
      </c>
      <c r="F172" s="20">
        <f>IF(A172&gt;$B$6*12,"",B172-E172)</f>
        <v/>
      </c>
    </row>
    <row r="173">
      <c r="A173" s="2" t="n">
        <v>163</v>
      </c>
      <c r="B173" s="20">
        <f>IF(A173&gt;$B$6*12,"",F172)</f>
        <v/>
      </c>
      <c r="C173" s="20">
        <f>IF(A173&gt;$B$6*12,"",$B$7)</f>
        <v/>
      </c>
      <c r="D173" s="20">
        <f>IF(A173&gt;$B$6*12,"",B173*$B$5/12)</f>
        <v/>
      </c>
      <c r="E173" s="20">
        <f>IF(A173&gt;$B$6*12,"",C173-D173)</f>
        <v/>
      </c>
      <c r="F173" s="20">
        <f>IF(A173&gt;$B$6*12,"",B173-E173)</f>
        <v/>
      </c>
    </row>
    <row r="174">
      <c r="A174" s="2" t="n">
        <v>164</v>
      </c>
      <c r="B174" s="20">
        <f>IF(A174&gt;$B$6*12,"",F173)</f>
        <v/>
      </c>
      <c r="C174" s="20">
        <f>IF(A174&gt;$B$6*12,"",$B$7)</f>
        <v/>
      </c>
      <c r="D174" s="20">
        <f>IF(A174&gt;$B$6*12,"",B174*$B$5/12)</f>
        <v/>
      </c>
      <c r="E174" s="20">
        <f>IF(A174&gt;$B$6*12,"",C174-D174)</f>
        <v/>
      </c>
      <c r="F174" s="20">
        <f>IF(A174&gt;$B$6*12,"",B174-E174)</f>
        <v/>
      </c>
    </row>
    <row r="175">
      <c r="A175" s="2" t="n">
        <v>165</v>
      </c>
      <c r="B175" s="20">
        <f>IF(A175&gt;$B$6*12,"",F174)</f>
        <v/>
      </c>
      <c r="C175" s="20">
        <f>IF(A175&gt;$B$6*12,"",$B$7)</f>
        <v/>
      </c>
      <c r="D175" s="20">
        <f>IF(A175&gt;$B$6*12,"",B175*$B$5/12)</f>
        <v/>
      </c>
      <c r="E175" s="20">
        <f>IF(A175&gt;$B$6*12,"",C175-D175)</f>
        <v/>
      </c>
      <c r="F175" s="20">
        <f>IF(A175&gt;$B$6*12,"",B175-E175)</f>
        <v/>
      </c>
    </row>
    <row r="176">
      <c r="A176" s="2" t="n">
        <v>166</v>
      </c>
      <c r="B176" s="20">
        <f>IF(A176&gt;$B$6*12,"",F175)</f>
        <v/>
      </c>
      <c r="C176" s="20">
        <f>IF(A176&gt;$B$6*12,"",$B$7)</f>
        <v/>
      </c>
      <c r="D176" s="20">
        <f>IF(A176&gt;$B$6*12,"",B176*$B$5/12)</f>
        <v/>
      </c>
      <c r="E176" s="20">
        <f>IF(A176&gt;$B$6*12,"",C176-D176)</f>
        <v/>
      </c>
      <c r="F176" s="20">
        <f>IF(A176&gt;$B$6*12,"",B176-E176)</f>
        <v/>
      </c>
    </row>
    <row r="177">
      <c r="A177" s="2" t="n">
        <v>167</v>
      </c>
      <c r="B177" s="20">
        <f>IF(A177&gt;$B$6*12,"",F176)</f>
        <v/>
      </c>
      <c r="C177" s="20">
        <f>IF(A177&gt;$B$6*12,"",$B$7)</f>
        <v/>
      </c>
      <c r="D177" s="20">
        <f>IF(A177&gt;$B$6*12,"",B177*$B$5/12)</f>
        <v/>
      </c>
      <c r="E177" s="20">
        <f>IF(A177&gt;$B$6*12,"",C177-D177)</f>
        <v/>
      </c>
      <c r="F177" s="20">
        <f>IF(A177&gt;$B$6*12,"",B177-E177)</f>
        <v/>
      </c>
    </row>
    <row r="178">
      <c r="A178" s="2" t="n">
        <v>168</v>
      </c>
      <c r="B178" s="20">
        <f>IF(A178&gt;$B$6*12,"",F177)</f>
        <v/>
      </c>
      <c r="C178" s="20">
        <f>IF(A178&gt;$B$6*12,"",$B$7)</f>
        <v/>
      </c>
      <c r="D178" s="20">
        <f>IF(A178&gt;$B$6*12,"",B178*$B$5/12)</f>
        <v/>
      </c>
      <c r="E178" s="20">
        <f>IF(A178&gt;$B$6*12,"",C178-D178)</f>
        <v/>
      </c>
      <c r="F178" s="20">
        <f>IF(A178&gt;$B$6*12,"",B178-E178)</f>
        <v/>
      </c>
    </row>
    <row r="179">
      <c r="A179" s="2" t="n">
        <v>169</v>
      </c>
      <c r="B179" s="20">
        <f>IF(A179&gt;$B$6*12,"",F178)</f>
        <v/>
      </c>
      <c r="C179" s="20">
        <f>IF(A179&gt;$B$6*12,"",$B$7)</f>
        <v/>
      </c>
      <c r="D179" s="20">
        <f>IF(A179&gt;$B$6*12,"",B179*$B$5/12)</f>
        <v/>
      </c>
      <c r="E179" s="20">
        <f>IF(A179&gt;$B$6*12,"",C179-D179)</f>
        <v/>
      </c>
      <c r="F179" s="20">
        <f>IF(A179&gt;$B$6*12,"",B179-E179)</f>
        <v/>
      </c>
    </row>
    <row r="180">
      <c r="A180" s="2" t="n">
        <v>170</v>
      </c>
      <c r="B180" s="20">
        <f>IF(A180&gt;$B$6*12,"",F179)</f>
        <v/>
      </c>
      <c r="C180" s="20">
        <f>IF(A180&gt;$B$6*12,"",$B$7)</f>
        <v/>
      </c>
      <c r="D180" s="20">
        <f>IF(A180&gt;$B$6*12,"",B180*$B$5/12)</f>
        <v/>
      </c>
      <c r="E180" s="20">
        <f>IF(A180&gt;$B$6*12,"",C180-D180)</f>
        <v/>
      </c>
      <c r="F180" s="20">
        <f>IF(A180&gt;$B$6*12,"",B180-E180)</f>
        <v/>
      </c>
    </row>
    <row r="181">
      <c r="A181" s="2" t="n">
        <v>171</v>
      </c>
      <c r="B181" s="20">
        <f>IF(A181&gt;$B$6*12,"",F180)</f>
        <v/>
      </c>
      <c r="C181" s="20">
        <f>IF(A181&gt;$B$6*12,"",$B$7)</f>
        <v/>
      </c>
      <c r="D181" s="20">
        <f>IF(A181&gt;$B$6*12,"",B181*$B$5/12)</f>
        <v/>
      </c>
      <c r="E181" s="20">
        <f>IF(A181&gt;$B$6*12,"",C181-D181)</f>
        <v/>
      </c>
      <c r="F181" s="20">
        <f>IF(A181&gt;$B$6*12,"",B181-E181)</f>
        <v/>
      </c>
    </row>
    <row r="182">
      <c r="A182" s="2" t="n">
        <v>172</v>
      </c>
      <c r="B182" s="20">
        <f>IF(A182&gt;$B$6*12,"",F181)</f>
        <v/>
      </c>
      <c r="C182" s="20">
        <f>IF(A182&gt;$B$6*12,"",$B$7)</f>
        <v/>
      </c>
      <c r="D182" s="20">
        <f>IF(A182&gt;$B$6*12,"",B182*$B$5/12)</f>
        <v/>
      </c>
      <c r="E182" s="20">
        <f>IF(A182&gt;$B$6*12,"",C182-D182)</f>
        <v/>
      </c>
      <c r="F182" s="20">
        <f>IF(A182&gt;$B$6*12,"",B182-E182)</f>
        <v/>
      </c>
    </row>
    <row r="183">
      <c r="A183" s="2" t="n">
        <v>173</v>
      </c>
      <c r="B183" s="20">
        <f>IF(A183&gt;$B$6*12,"",F182)</f>
        <v/>
      </c>
      <c r="C183" s="20">
        <f>IF(A183&gt;$B$6*12,"",$B$7)</f>
        <v/>
      </c>
      <c r="D183" s="20">
        <f>IF(A183&gt;$B$6*12,"",B183*$B$5/12)</f>
        <v/>
      </c>
      <c r="E183" s="20">
        <f>IF(A183&gt;$B$6*12,"",C183-D183)</f>
        <v/>
      </c>
      <c r="F183" s="20">
        <f>IF(A183&gt;$B$6*12,"",B183-E183)</f>
        <v/>
      </c>
    </row>
    <row r="184">
      <c r="A184" s="2" t="n">
        <v>174</v>
      </c>
      <c r="B184" s="20">
        <f>IF(A184&gt;$B$6*12,"",F183)</f>
        <v/>
      </c>
      <c r="C184" s="20">
        <f>IF(A184&gt;$B$6*12,"",$B$7)</f>
        <v/>
      </c>
      <c r="D184" s="20">
        <f>IF(A184&gt;$B$6*12,"",B184*$B$5/12)</f>
        <v/>
      </c>
      <c r="E184" s="20">
        <f>IF(A184&gt;$B$6*12,"",C184-D184)</f>
        <v/>
      </c>
      <c r="F184" s="20">
        <f>IF(A184&gt;$B$6*12,"",B184-E184)</f>
        <v/>
      </c>
    </row>
    <row r="185">
      <c r="A185" s="2" t="n">
        <v>175</v>
      </c>
      <c r="B185" s="20">
        <f>IF(A185&gt;$B$6*12,"",F184)</f>
        <v/>
      </c>
      <c r="C185" s="20">
        <f>IF(A185&gt;$B$6*12,"",$B$7)</f>
        <v/>
      </c>
      <c r="D185" s="20">
        <f>IF(A185&gt;$B$6*12,"",B185*$B$5/12)</f>
        <v/>
      </c>
      <c r="E185" s="20">
        <f>IF(A185&gt;$B$6*12,"",C185-D185)</f>
        <v/>
      </c>
      <c r="F185" s="20">
        <f>IF(A185&gt;$B$6*12,"",B185-E185)</f>
        <v/>
      </c>
    </row>
    <row r="186">
      <c r="A186" s="2" t="n">
        <v>176</v>
      </c>
      <c r="B186" s="20">
        <f>IF(A186&gt;$B$6*12,"",F185)</f>
        <v/>
      </c>
      <c r="C186" s="20">
        <f>IF(A186&gt;$B$6*12,"",$B$7)</f>
        <v/>
      </c>
      <c r="D186" s="20">
        <f>IF(A186&gt;$B$6*12,"",B186*$B$5/12)</f>
        <v/>
      </c>
      <c r="E186" s="20">
        <f>IF(A186&gt;$B$6*12,"",C186-D186)</f>
        <v/>
      </c>
      <c r="F186" s="20">
        <f>IF(A186&gt;$B$6*12,"",B186-E186)</f>
        <v/>
      </c>
    </row>
    <row r="187">
      <c r="A187" s="2" t="n">
        <v>177</v>
      </c>
      <c r="B187" s="20">
        <f>IF(A187&gt;$B$6*12,"",F186)</f>
        <v/>
      </c>
      <c r="C187" s="20">
        <f>IF(A187&gt;$B$6*12,"",$B$7)</f>
        <v/>
      </c>
      <c r="D187" s="20">
        <f>IF(A187&gt;$B$6*12,"",B187*$B$5/12)</f>
        <v/>
      </c>
      <c r="E187" s="20">
        <f>IF(A187&gt;$B$6*12,"",C187-D187)</f>
        <v/>
      </c>
      <c r="F187" s="20">
        <f>IF(A187&gt;$B$6*12,"",B187-E187)</f>
        <v/>
      </c>
    </row>
    <row r="188">
      <c r="A188" s="2" t="n">
        <v>178</v>
      </c>
      <c r="B188" s="20">
        <f>IF(A188&gt;$B$6*12,"",F187)</f>
        <v/>
      </c>
      <c r="C188" s="20">
        <f>IF(A188&gt;$B$6*12,"",$B$7)</f>
        <v/>
      </c>
      <c r="D188" s="20">
        <f>IF(A188&gt;$B$6*12,"",B188*$B$5/12)</f>
        <v/>
      </c>
      <c r="E188" s="20">
        <f>IF(A188&gt;$B$6*12,"",C188-D188)</f>
        <v/>
      </c>
      <c r="F188" s="20">
        <f>IF(A188&gt;$B$6*12,"",B188-E188)</f>
        <v/>
      </c>
    </row>
    <row r="189">
      <c r="A189" s="2" t="n">
        <v>179</v>
      </c>
      <c r="B189" s="20">
        <f>IF(A189&gt;$B$6*12,"",F188)</f>
        <v/>
      </c>
      <c r="C189" s="20">
        <f>IF(A189&gt;$B$6*12,"",$B$7)</f>
        <v/>
      </c>
      <c r="D189" s="20">
        <f>IF(A189&gt;$B$6*12,"",B189*$B$5/12)</f>
        <v/>
      </c>
      <c r="E189" s="20">
        <f>IF(A189&gt;$B$6*12,"",C189-D189)</f>
        <v/>
      </c>
      <c r="F189" s="20">
        <f>IF(A189&gt;$B$6*12,"",B189-E189)</f>
        <v/>
      </c>
    </row>
    <row r="190">
      <c r="A190" s="2" t="n">
        <v>180</v>
      </c>
      <c r="B190" s="20">
        <f>IF(A190&gt;$B$6*12,"",F189)</f>
        <v/>
      </c>
      <c r="C190" s="20">
        <f>IF(A190&gt;$B$6*12,"",$B$7)</f>
        <v/>
      </c>
      <c r="D190" s="20">
        <f>IF(A190&gt;$B$6*12,"",B190*$B$5/12)</f>
        <v/>
      </c>
      <c r="E190" s="20">
        <f>IF(A190&gt;$B$6*12,"",C190-D190)</f>
        <v/>
      </c>
      <c r="F190" s="20">
        <f>IF(A190&gt;$B$6*12,"",B190-E190)</f>
        <v/>
      </c>
    </row>
    <row r="191">
      <c r="A191" s="2" t="n">
        <v>181</v>
      </c>
      <c r="B191" s="20">
        <f>IF(A191&gt;$B$6*12,"",F190)</f>
        <v/>
      </c>
      <c r="C191" s="20">
        <f>IF(A191&gt;$B$6*12,"",$B$7)</f>
        <v/>
      </c>
      <c r="D191" s="20">
        <f>IF(A191&gt;$B$6*12,"",B191*$B$5/12)</f>
        <v/>
      </c>
      <c r="E191" s="20">
        <f>IF(A191&gt;$B$6*12,"",C191-D191)</f>
        <v/>
      </c>
      <c r="F191" s="20">
        <f>IF(A191&gt;$B$6*12,"",B191-E191)</f>
        <v/>
      </c>
    </row>
    <row r="192">
      <c r="A192" s="2" t="n">
        <v>182</v>
      </c>
      <c r="B192" s="20">
        <f>IF(A192&gt;$B$6*12,"",F191)</f>
        <v/>
      </c>
      <c r="C192" s="20">
        <f>IF(A192&gt;$B$6*12,"",$B$7)</f>
        <v/>
      </c>
      <c r="D192" s="20">
        <f>IF(A192&gt;$B$6*12,"",B192*$B$5/12)</f>
        <v/>
      </c>
      <c r="E192" s="20">
        <f>IF(A192&gt;$B$6*12,"",C192-D192)</f>
        <v/>
      </c>
      <c r="F192" s="20">
        <f>IF(A192&gt;$B$6*12,"",B192-E192)</f>
        <v/>
      </c>
    </row>
    <row r="193">
      <c r="A193" s="2" t="n">
        <v>183</v>
      </c>
      <c r="B193" s="20">
        <f>IF(A193&gt;$B$6*12,"",F192)</f>
        <v/>
      </c>
      <c r="C193" s="20">
        <f>IF(A193&gt;$B$6*12,"",$B$7)</f>
        <v/>
      </c>
      <c r="D193" s="20">
        <f>IF(A193&gt;$B$6*12,"",B193*$B$5/12)</f>
        <v/>
      </c>
      <c r="E193" s="20">
        <f>IF(A193&gt;$B$6*12,"",C193-D193)</f>
        <v/>
      </c>
      <c r="F193" s="20">
        <f>IF(A193&gt;$B$6*12,"",B193-E193)</f>
        <v/>
      </c>
    </row>
    <row r="194">
      <c r="A194" s="2" t="n">
        <v>184</v>
      </c>
      <c r="B194" s="20">
        <f>IF(A194&gt;$B$6*12,"",F193)</f>
        <v/>
      </c>
      <c r="C194" s="20">
        <f>IF(A194&gt;$B$6*12,"",$B$7)</f>
        <v/>
      </c>
      <c r="D194" s="20">
        <f>IF(A194&gt;$B$6*12,"",B194*$B$5/12)</f>
        <v/>
      </c>
      <c r="E194" s="20">
        <f>IF(A194&gt;$B$6*12,"",C194-D194)</f>
        <v/>
      </c>
      <c r="F194" s="20">
        <f>IF(A194&gt;$B$6*12,"",B194-E194)</f>
        <v/>
      </c>
    </row>
    <row r="195">
      <c r="A195" s="2" t="n">
        <v>185</v>
      </c>
      <c r="B195" s="20">
        <f>IF(A195&gt;$B$6*12,"",F194)</f>
        <v/>
      </c>
      <c r="C195" s="20">
        <f>IF(A195&gt;$B$6*12,"",$B$7)</f>
        <v/>
      </c>
      <c r="D195" s="20">
        <f>IF(A195&gt;$B$6*12,"",B195*$B$5/12)</f>
        <v/>
      </c>
      <c r="E195" s="20">
        <f>IF(A195&gt;$B$6*12,"",C195-D195)</f>
        <v/>
      </c>
      <c r="F195" s="20">
        <f>IF(A195&gt;$B$6*12,"",B195-E195)</f>
        <v/>
      </c>
    </row>
    <row r="196">
      <c r="A196" s="2" t="n">
        <v>186</v>
      </c>
      <c r="B196" s="20">
        <f>IF(A196&gt;$B$6*12,"",F195)</f>
        <v/>
      </c>
      <c r="C196" s="20">
        <f>IF(A196&gt;$B$6*12,"",$B$7)</f>
        <v/>
      </c>
      <c r="D196" s="20">
        <f>IF(A196&gt;$B$6*12,"",B196*$B$5/12)</f>
        <v/>
      </c>
      <c r="E196" s="20">
        <f>IF(A196&gt;$B$6*12,"",C196-D196)</f>
        <v/>
      </c>
      <c r="F196" s="20">
        <f>IF(A196&gt;$B$6*12,"",B196-E196)</f>
        <v/>
      </c>
    </row>
    <row r="197">
      <c r="A197" s="2" t="n">
        <v>187</v>
      </c>
      <c r="B197" s="20">
        <f>IF(A197&gt;$B$6*12,"",F196)</f>
        <v/>
      </c>
      <c r="C197" s="20">
        <f>IF(A197&gt;$B$6*12,"",$B$7)</f>
        <v/>
      </c>
      <c r="D197" s="20">
        <f>IF(A197&gt;$B$6*12,"",B197*$B$5/12)</f>
        <v/>
      </c>
      <c r="E197" s="20">
        <f>IF(A197&gt;$B$6*12,"",C197-D197)</f>
        <v/>
      </c>
      <c r="F197" s="20">
        <f>IF(A197&gt;$B$6*12,"",B197-E197)</f>
        <v/>
      </c>
    </row>
    <row r="198">
      <c r="A198" s="2" t="n">
        <v>188</v>
      </c>
      <c r="B198" s="20">
        <f>IF(A198&gt;$B$6*12,"",F197)</f>
        <v/>
      </c>
      <c r="C198" s="20">
        <f>IF(A198&gt;$B$6*12,"",$B$7)</f>
        <v/>
      </c>
      <c r="D198" s="20">
        <f>IF(A198&gt;$B$6*12,"",B198*$B$5/12)</f>
        <v/>
      </c>
      <c r="E198" s="20">
        <f>IF(A198&gt;$B$6*12,"",C198-D198)</f>
        <v/>
      </c>
      <c r="F198" s="20">
        <f>IF(A198&gt;$B$6*12,"",B198-E198)</f>
        <v/>
      </c>
    </row>
    <row r="199">
      <c r="A199" s="2" t="n">
        <v>189</v>
      </c>
      <c r="B199" s="20">
        <f>IF(A199&gt;$B$6*12,"",F198)</f>
        <v/>
      </c>
      <c r="C199" s="20">
        <f>IF(A199&gt;$B$6*12,"",$B$7)</f>
        <v/>
      </c>
      <c r="D199" s="20">
        <f>IF(A199&gt;$B$6*12,"",B199*$B$5/12)</f>
        <v/>
      </c>
      <c r="E199" s="20">
        <f>IF(A199&gt;$B$6*12,"",C199-D199)</f>
        <v/>
      </c>
      <c r="F199" s="20">
        <f>IF(A199&gt;$B$6*12,"",B199-E199)</f>
        <v/>
      </c>
    </row>
    <row r="200">
      <c r="A200" s="2" t="n">
        <v>190</v>
      </c>
      <c r="B200" s="20">
        <f>IF(A200&gt;$B$6*12,"",F199)</f>
        <v/>
      </c>
      <c r="C200" s="20">
        <f>IF(A200&gt;$B$6*12,"",$B$7)</f>
        <v/>
      </c>
      <c r="D200" s="20">
        <f>IF(A200&gt;$B$6*12,"",B200*$B$5/12)</f>
        <v/>
      </c>
      <c r="E200" s="20">
        <f>IF(A200&gt;$B$6*12,"",C200-D200)</f>
        <v/>
      </c>
      <c r="F200" s="20">
        <f>IF(A200&gt;$B$6*12,"",B200-E200)</f>
        <v/>
      </c>
    </row>
    <row r="201">
      <c r="A201" s="2" t="n">
        <v>191</v>
      </c>
      <c r="B201" s="20">
        <f>IF(A201&gt;$B$6*12,"",F200)</f>
        <v/>
      </c>
      <c r="C201" s="20">
        <f>IF(A201&gt;$B$6*12,"",$B$7)</f>
        <v/>
      </c>
      <c r="D201" s="20">
        <f>IF(A201&gt;$B$6*12,"",B201*$B$5/12)</f>
        <v/>
      </c>
      <c r="E201" s="20">
        <f>IF(A201&gt;$B$6*12,"",C201-D201)</f>
        <v/>
      </c>
      <c r="F201" s="20">
        <f>IF(A201&gt;$B$6*12,"",B201-E201)</f>
        <v/>
      </c>
    </row>
    <row r="202">
      <c r="A202" s="2" t="n">
        <v>192</v>
      </c>
      <c r="B202" s="20">
        <f>IF(A202&gt;$B$6*12,"",F201)</f>
        <v/>
      </c>
      <c r="C202" s="20">
        <f>IF(A202&gt;$B$6*12,"",$B$7)</f>
        <v/>
      </c>
      <c r="D202" s="20">
        <f>IF(A202&gt;$B$6*12,"",B202*$B$5/12)</f>
        <v/>
      </c>
      <c r="E202" s="20">
        <f>IF(A202&gt;$B$6*12,"",C202-D202)</f>
        <v/>
      </c>
      <c r="F202" s="20">
        <f>IF(A202&gt;$B$6*12,"",B202-E202)</f>
        <v/>
      </c>
    </row>
    <row r="203">
      <c r="A203" s="2" t="n">
        <v>193</v>
      </c>
      <c r="B203" s="20">
        <f>IF(A203&gt;$B$6*12,"",F202)</f>
        <v/>
      </c>
      <c r="C203" s="20">
        <f>IF(A203&gt;$B$6*12,"",$B$7)</f>
        <v/>
      </c>
      <c r="D203" s="20">
        <f>IF(A203&gt;$B$6*12,"",B203*$B$5/12)</f>
        <v/>
      </c>
      <c r="E203" s="20">
        <f>IF(A203&gt;$B$6*12,"",C203-D203)</f>
        <v/>
      </c>
      <c r="F203" s="20">
        <f>IF(A203&gt;$B$6*12,"",B203-E203)</f>
        <v/>
      </c>
    </row>
    <row r="204">
      <c r="A204" s="2" t="n">
        <v>194</v>
      </c>
      <c r="B204" s="20">
        <f>IF(A204&gt;$B$6*12,"",F203)</f>
        <v/>
      </c>
      <c r="C204" s="20">
        <f>IF(A204&gt;$B$6*12,"",$B$7)</f>
        <v/>
      </c>
      <c r="D204" s="20">
        <f>IF(A204&gt;$B$6*12,"",B204*$B$5/12)</f>
        <v/>
      </c>
      <c r="E204" s="20">
        <f>IF(A204&gt;$B$6*12,"",C204-D204)</f>
        <v/>
      </c>
      <c r="F204" s="20">
        <f>IF(A204&gt;$B$6*12,"",B204-E204)</f>
        <v/>
      </c>
    </row>
    <row r="205">
      <c r="A205" s="2" t="n">
        <v>195</v>
      </c>
      <c r="B205" s="20">
        <f>IF(A205&gt;$B$6*12,"",F204)</f>
        <v/>
      </c>
      <c r="C205" s="20">
        <f>IF(A205&gt;$B$6*12,"",$B$7)</f>
        <v/>
      </c>
      <c r="D205" s="20">
        <f>IF(A205&gt;$B$6*12,"",B205*$B$5/12)</f>
        <v/>
      </c>
      <c r="E205" s="20">
        <f>IF(A205&gt;$B$6*12,"",C205-D205)</f>
        <v/>
      </c>
      <c r="F205" s="20">
        <f>IF(A205&gt;$B$6*12,"",B205-E205)</f>
        <v/>
      </c>
    </row>
    <row r="206">
      <c r="A206" s="2" t="n">
        <v>196</v>
      </c>
      <c r="B206" s="20">
        <f>IF(A206&gt;$B$6*12,"",F205)</f>
        <v/>
      </c>
      <c r="C206" s="20">
        <f>IF(A206&gt;$B$6*12,"",$B$7)</f>
        <v/>
      </c>
      <c r="D206" s="20">
        <f>IF(A206&gt;$B$6*12,"",B206*$B$5/12)</f>
        <v/>
      </c>
      <c r="E206" s="20">
        <f>IF(A206&gt;$B$6*12,"",C206-D206)</f>
        <v/>
      </c>
      <c r="F206" s="20">
        <f>IF(A206&gt;$B$6*12,"",B206-E206)</f>
        <v/>
      </c>
    </row>
    <row r="207">
      <c r="A207" s="2" t="n">
        <v>197</v>
      </c>
      <c r="B207" s="20">
        <f>IF(A207&gt;$B$6*12,"",F206)</f>
        <v/>
      </c>
      <c r="C207" s="20">
        <f>IF(A207&gt;$B$6*12,"",$B$7)</f>
        <v/>
      </c>
      <c r="D207" s="20">
        <f>IF(A207&gt;$B$6*12,"",B207*$B$5/12)</f>
        <v/>
      </c>
      <c r="E207" s="20">
        <f>IF(A207&gt;$B$6*12,"",C207-D207)</f>
        <v/>
      </c>
      <c r="F207" s="20">
        <f>IF(A207&gt;$B$6*12,"",B207-E207)</f>
        <v/>
      </c>
    </row>
    <row r="208">
      <c r="A208" s="2" t="n">
        <v>198</v>
      </c>
      <c r="B208" s="20">
        <f>IF(A208&gt;$B$6*12,"",F207)</f>
        <v/>
      </c>
      <c r="C208" s="20">
        <f>IF(A208&gt;$B$6*12,"",$B$7)</f>
        <v/>
      </c>
      <c r="D208" s="20">
        <f>IF(A208&gt;$B$6*12,"",B208*$B$5/12)</f>
        <v/>
      </c>
      <c r="E208" s="20">
        <f>IF(A208&gt;$B$6*12,"",C208-D208)</f>
        <v/>
      </c>
      <c r="F208" s="20">
        <f>IF(A208&gt;$B$6*12,"",B208-E208)</f>
        <v/>
      </c>
    </row>
    <row r="209">
      <c r="A209" s="2" t="n">
        <v>199</v>
      </c>
      <c r="B209" s="20">
        <f>IF(A209&gt;$B$6*12,"",F208)</f>
        <v/>
      </c>
      <c r="C209" s="20">
        <f>IF(A209&gt;$B$6*12,"",$B$7)</f>
        <v/>
      </c>
      <c r="D209" s="20">
        <f>IF(A209&gt;$B$6*12,"",B209*$B$5/12)</f>
        <v/>
      </c>
      <c r="E209" s="20">
        <f>IF(A209&gt;$B$6*12,"",C209-D209)</f>
        <v/>
      </c>
      <c r="F209" s="20">
        <f>IF(A209&gt;$B$6*12,"",B209-E209)</f>
        <v/>
      </c>
    </row>
    <row r="210">
      <c r="A210" s="2" t="n">
        <v>200</v>
      </c>
      <c r="B210" s="20">
        <f>IF(A210&gt;$B$6*12,"",F209)</f>
        <v/>
      </c>
      <c r="C210" s="20">
        <f>IF(A210&gt;$B$6*12,"",$B$7)</f>
        <v/>
      </c>
      <c r="D210" s="20">
        <f>IF(A210&gt;$B$6*12,"",B210*$B$5/12)</f>
        <v/>
      </c>
      <c r="E210" s="20">
        <f>IF(A210&gt;$B$6*12,"",C210-D210)</f>
        <v/>
      </c>
      <c r="F210" s="20">
        <f>IF(A210&gt;$B$6*12,"",B210-E210)</f>
        <v/>
      </c>
    </row>
    <row r="211">
      <c r="A211" s="2" t="n">
        <v>201</v>
      </c>
      <c r="B211" s="20">
        <f>IF(A211&gt;$B$6*12,"",F210)</f>
        <v/>
      </c>
      <c r="C211" s="20">
        <f>IF(A211&gt;$B$6*12,"",$B$7)</f>
        <v/>
      </c>
      <c r="D211" s="20">
        <f>IF(A211&gt;$B$6*12,"",B211*$B$5/12)</f>
        <v/>
      </c>
      <c r="E211" s="20">
        <f>IF(A211&gt;$B$6*12,"",C211-D211)</f>
        <v/>
      </c>
      <c r="F211" s="20">
        <f>IF(A211&gt;$B$6*12,"",B211-E211)</f>
        <v/>
      </c>
    </row>
    <row r="212">
      <c r="A212" s="2" t="n">
        <v>202</v>
      </c>
      <c r="B212" s="20">
        <f>IF(A212&gt;$B$6*12,"",F211)</f>
        <v/>
      </c>
      <c r="C212" s="20">
        <f>IF(A212&gt;$B$6*12,"",$B$7)</f>
        <v/>
      </c>
      <c r="D212" s="20">
        <f>IF(A212&gt;$B$6*12,"",B212*$B$5/12)</f>
        <v/>
      </c>
      <c r="E212" s="20">
        <f>IF(A212&gt;$B$6*12,"",C212-D212)</f>
        <v/>
      </c>
      <c r="F212" s="20">
        <f>IF(A212&gt;$B$6*12,"",B212-E212)</f>
        <v/>
      </c>
    </row>
    <row r="213">
      <c r="A213" s="2" t="n">
        <v>203</v>
      </c>
      <c r="B213" s="20">
        <f>IF(A213&gt;$B$6*12,"",F212)</f>
        <v/>
      </c>
      <c r="C213" s="20">
        <f>IF(A213&gt;$B$6*12,"",$B$7)</f>
        <v/>
      </c>
      <c r="D213" s="20">
        <f>IF(A213&gt;$B$6*12,"",B213*$B$5/12)</f>
        <v/>
      </c>
      <c r="E213" s="20">
        <f>IF(A213&gt;$B$6*12,"",C213-D213)</f>
        <v/>
      </c>
      <c r="F213" s="20">
        <f>IF(A213&gt;$B$6*12,"",B213-E213)</f>
        <v/>
      </c>
    </row>
    <row r="214">
      <c r="A214" s="2" t="n">
        <v>204</v>
      </c>
      <c r="B214" s="20">
        <f>IF(A214&gt;$B$6*12,"",F213)</f>
        <v/>
      </c>
      <c r="C214" s="20">
        <f>IF(A214&gt;$B$6*12,"",$B$7)</f>
        <v/>
      </c>
      <c r="D214" s="20">
        <f>IF(A214&gt;$B$6*12,"",B214*$B$5/12)</f>
        <v/>
      </c>
      <c r="E214" s="20">
        <f>IF(A214&gt;$B$6*12,"",C214-D214)</f>
        <v/>
      </c>
      <c r="F214" s="20">
        <f>IF(A214&gt;$B$6*12,"",B214-E214)</f>
        <v/>
      </c>
    </row>
    <row r="215">
      <c r="A215" s="2" t="n">
        <v>205</v>
      </c>
      <c r="B215" s="20">
        <f>IF(A215&gt;$B$6*12,"",F214)</f>
        <v/>
      </c>
      <c r="C215" s="20">
        <f>IF(A215&gt;$B$6*12,"",$B$7)</f>
        <v/>
      </c>
      <c r="D215" s="20">
        <f>IF(A215&gt;$B$6*12,"",B215*$B$5/12)</f>
        <v/>
      </c>
      <c r="E215" s="20">
        <f>IF(A215&gt;$B$6*12,"",C215-D215)</f>
        <v/>
      </c>
      <c r="F215" s="20">
        <f>IF(A215&gt;$B$6*12,"",B215-E215)</f>
        <v/>
      </c>
    </row>
    <row r="216">
      <c r="A216" s="2" t="n">
        <v>206</v>
      </c>
      <c r="B216" s="20">
        <f>IF(A216&gt;$B$6*12,"",F215)</f>
        <v/>
      </c>
      <c r="C216" s="20">
        <f>IF(A216&gt;$B$6*12,"",$B$7)</f>
        <v/>
      </c>
      <c r="D216" s="20">
        <f>IF(A216&gt;$B$6*12,"",B216*$B$5/12)</f>
        <v/>
      </c>
      <c r="E216" s="20">
        <f>IF(A216&gt;$B$6*12,"",C216-D216)</f>
        <v/>
      </c>
      <c r="F216" s="20">
        <f>IF(A216&gt;$B$6*12,"",B216-E216)</f>
        <v/>
      </c>
    </row>
    <row r="217">
      <c r="A217" s="2" t="n">
        <v>207</v>
      </c>
      <c r="B217" s="20">
        <f>IF(A217&gt;$B$6*12,"",F216)</f>
        <v/>
      </c>
      <c r="C217" s="20">
        <f>IF(A217&gt;$B$6*12,"",$B$7)</f>
        <v/>
      </c>
      <c r="D217" s="20">
        <f>IF(A217&gt;$B$6*12,"",B217*$B$5/12)</f>
        <v/>
      </c>
      <c r="E217" s="20">
        <f>IF(A217&gt;$B$6*12,"",C217-D217)</f>
        <v/>
      </c>
      <c r="F217" s="20">
        <f>IF(A217&gt;$B$6*12,"",B217-E217)</f>
        <v/>
      </c>
    </row>
    <row r="218">
      <c r="A218" s="2" t="n">
        <v>208</v>
      </c>
      <c r="B218" s="20">
        <f>IF(A218&gt;$B$6*12,"",F217)</f>
        <v/>
      </c>
      <c r="C218" s="20">
        <f>IF(A218&gt;$B$6*12,"",$B$7)</f>
        <v/>
      </c>
      <c r="D218" s="20">
        <f>IF(A218&gt;$B$6*12,"",B218*$B$5/12)</f>
        <v/>
      </c>
      <c r="E218" s="20">
        <f>IF(A218&gt;$B$6*12,"",C218-D218)</f>
        <v/>
      </c>
      <c r="F218" s="20">
        <f>IF(A218&gt;$B$6*12,"",B218-E218)</f>
        <v/>
      </c>
    </row>
    <row r="219">
      <c r="A219" s="2" t="n">
        <v>209</v>
      </c>
      <c r="B219" s="20">
        <f>IF(A219&gt;$B$6*12,"",F218)</f>
        <v/>
      </c>
      <c r="C219" s="20">
        <f>IF(A219&gt;$B$6*12,"",$B$7)</f>
        <v/>
      </c>
      <c r="D219" s="20">
        <f>IF(A219&gt;$B$6*12,"",B219*$B$5/12)</f>
        <v/>
      </c>
      <c r="E219" s="20">
        <f>IF(A219&gt;$B$6*12,"",C219-D219)</f>
        <v/>
      </c>
      <c r="F219" s="20">
        <f>IF(A219&gt;$B$6*12,"",B219-E219)</f>
        <v/>
      </c>
    </row>
    <row r="220">
      <c r="A220" s="2" t="n">
        <v>210</v>
      </c>
      <c r="B220" s="20">
        <f>IF(A220&gt;$B$6*12,"",F219)</f>
        <v/>
      </c>
      <c r="C220" s="20">
        <f>IF(A220&gt;$B$6*12,"",$B$7)</f>
        <v/>
      </c>
      <c r="D220" s="20">
        <f>IF(A220&gt;$B$6*12,"",B220*$B$5/12)</f>
        <v/>
      </c>
      <c r="E220" s="20">
        <f>IF(A220&gt;$B$6*12,"",C220-D220)</f>
        <v/>
      </c>
      <c r="F220" s="20">
        <f>IF(A220&gt;$B$6*12,"",B220-E220)</f>
        <v/>
      </c>
    </row>
    <row r="221">
      <c r="A221" s="2" t="n">
        <v>211</v>
      </c>
      <c r="B221" s="20">
        <f>IF(A221&gt;$B$6*12,"",F220)</f>
        <v/>
      </c>
      <c r="C221" s="20">
        <f>IF(A221&gt;$B$6*12,"",$B$7)</f>
        <v/>
      </c>
      <c r="D221" s="20">
        <f>IF(A221&gt;$B$6*12,"",B221*$B$5/12)</f>
        <v/>
      </c>
      <c r="E221" s="20">
        <f>IF(A221&gt;$B$6*12,"",C221-D221)</f>
        <v/>
      </c>
      <c r="F221" s="20">
        <f>IF(A221&gt;$B$6*12,"",B221-E221)</f>
        <v/>
      </c>
    </row>
    <row r="222">
      <c r="A222" s="2" t="n">
        <v>212</v>
      </c>
      <c r="B222" s="20">
        <f>IF(A222&gt;$B$6*12,"",F221)</f>
        <v/>
      </c>
      <c r="C222" s="20">
        <f>IF(A222&gt;$B$6*12,"",$B$7)</f>
        <v/>
      </c>
      <c r="D222" s="20">
        <f>IF(A222&gt;$B$6*12,"",B222*$B$5/12)</f>
        <v/>
      </c>
      <c r="E222" s="20">
        <f>IF(A222&gt;$B$6*12,"",C222-D222)</f>
        <v/>
      </c>
      <c r="F222" s="20">
        <f>IF(A222&gt;$B$6*12,"",B222-E222)</f>
        <v/>
      </c>
    </row>
    <row r="223">
      <c r="A223" s="2" t="n">
        <v>213</v>
      </c>
      <c r="B223" s="20">
        <f>IF(A223&gt;$B$6*12,"",F222)</f>
        <v/>
      </c>
      <c r="C223" s="20">
        <f>IF(A223&gt;$B$6*12,"",$B$7)</f>
        <v/>
      </c>
      <c r="D223" s="20">
        <f>IF(A223&gt;$B$6*12,"",B223*$B$5/12)</f>
        <v/>
      </c>
      <c r="E223" s="20">
        <f>IF(A223&gt;$B$6*12,"",C223-D223)</f>
        <v/>
      </c>
      <c r="F223" s="20">
        <f>IF(A223&gt;$B$6*12,"",B223-E223)</f>
        <v/>
      </c>
    </row>
    <row r="224">
      <c r="A224" s="2" t="n">
        <v>214</v>
      </c>
      <c r="B224" s="20">
        <f>IF(A224&gt;$B$6*12,"",F223)</f>
        <v/>
      </c>
      <c r="C224" s="20">
        <f>IF(A224&gt;$B$6*12,"",$B$7)</f>
        <v/>
      </c>
      <c r="D224" s="20">
        <f>IF(A224&gt;$B$6*12,"",B224*$B$5/12)</f>
        <v/>
      </c>
      <c r="E224" s="20">
        <f>IF(A224&gt;$B$6*12,"",C224-D224)</f>
        <v/>
      </c>
      <c r="F224" s="20">
        <f>IF(A224&gt;$B$6*12,"",B224-E224)</f>
        <v/>
      </c>
    </row>
    <row r="225">
      <c r="A225" s="2" t="n">
        <v>215</v>
      </c>
      <c r="B225" s="20">
        <f>IF(A225&gt;$B$6*12,"",F224)</f>
        <v/>
      </c>
      <c r="C225" s="20">
        <f>IF(A225&gt;$B$6*12,"",$B$7)</f>
        <v/>
      </c>
      <c r="D225" s="20">
        <f>IF(A225&gt;$B$6*12,"",B225*$B$5/12)</f>
        <v/>
      </c>
      <c r="E225" s="20">
        <f>IF(A225&gt;$B$6*12,"",C225-D225)</f>
        <v/>
      </c>
      <c r="F225" s="20">
        <f>IF(A225&gt;$B$6*12,"",B225-E225)</f>
        <v/>
      </c>
    </row>
    <row r="226">
      <c r="A226" s="2" t="n">
        <v>216</v>
      </c>
      <c r="B226" s="20">
        <f>IF(A226&gt;$B$6*12,"",F225)</f>
        <v/>
      </c>
      <c r="C226" s="20">
        <f>IF(A226&gt;$B$6*12,"",$B$7)</f>
        <v/>
      </c>
      <c r="D226" s="20">
        <f>IF(A226&gt;$B$6*12,"",B226*$B$5/12)</f>
        <v/>
      </c>
      <c r="E226" s="20">
        <f>IF(A226&gt;$B$6*12,"",C226-D226)</f>
        <v/>
      </c>
      <c r="F226" s="20">
        <f>IF(A226&gt;$B$6*12,"",B226-E226)</f>
        <v/>
      </c>
    </row>
    <row r="227">
      <c r="A227" s="2" t="n">
        <v>217</v>
      </c>
      <c r="B227" s="20">
        <f>IF(A227&gt;$B$6*12,"",F226)</f>
        <v/>
      </c>
      <c r="C227" s="20">
        <f>IF(A227&gt;$B$6*12,"",$B$7)</f>
        <v/>
      </c>
      <c r="D227" s="20">
        <f>IF(A227&gt;$B$6*12,"",B227*$B$5/12)</f>
        <v/>
      </c>
      <c r="E227" s="20">
        <f>IF(A227&gt;$B$6*12,"",C227-D227)</f>
        <v/>
      </c>
      <c r="F227" s="20">
        <f>IF(A227&gt;$B$6*12,"",B227-E227)</f>
        <v/>
      </c>
    </row>
    <row r="228">
      <c r="A228" s="2" t="n">
        <v>218</v>
      </c>
      <c r="B228" s="20">
        <f>IF(A228&gt;$B$6*12,"",F227)</f>
        <v/>
      </c>
      <c r="C228" s="20">
        <f>IF(A228&gt;$B$6*12,"",$B$7)</f>
        <v/>
      </c>
      <c r="D228" s="20">
        <f>IF(A228&gt;$B$6*12,"",B228*$B$5/12)</f>
        <v/>
      </c>
      <c r="E228" s="20">
        <f>IF(A228&gt;$B$6*12,"",C228-D228)</f>
        <v/>
      </c>
      <c r="F228" s="20">
        <f>IF(A228&gt;$B$6*12,"",B228-E228)</f>
        <v/>
      </c>
    </row>
    <row r="229">
      <c r="A229" s="2" t="n">
        <v>219</v>
      </c>
      <c r="B229" s="20">
        <f>IF(A229&gt;$B$6*12,"",F228)</f>
        <v/>
      </c>
      <c r="C229" s="20">
        <f>IF(A229&gt;$B$6*12,"",$B$7)</f>
        <v/>
      </c>
      <c r="D229" s="20">
        <f>IF(A229&gt;$B$6*12,"",B229*$B$5/12)</f>
        <v/>
      </c>
      <c r="E229" s="20">
        <f>IF(A229&gt;$B$6*12,"",C229-D229)</f>
        <v/>
      </c>
      <c r="F229" s="20">
        <f>IF(A229&gt;$B$6*12,"",B229-E229)</f>
        <v/>
      </c>
    </row>
    <row r="230">
      <c r="A230" s="2" t="n">
        <v>220</v>
      </c>
      <c r="B230" s="20">
        <f>IF(A230&gt;$B$6*12,"",F229)</f>
        <v/>
      </c>
      <c r="C230" s="20">
        <f>IF(A230&gt;$B$6*12,"",$B$7)</f>
        <v/>
      </c>
      <c r="D230" s="20">
        <f>IF(A230&gt;$B$6*12,"",B230*$B$5/12)</f>
        <v/>
      </c>
      <c r="E230" s="20">
        <f>IF(A230&gt;$B$6*12,"",C230-D230)</f>
        <v/>
      </c>
      <c r="F230" s="20">
        <f>IF(A230&gt;$B$6*12,"",B230-E230)</f>
        <v/>
      </c>
    </row>
    <row r="231">
      <c r="A231" s="2" t="n">
        <v>221</v>
      </c>
      <c r="B231" s="20">
        <f>IF(A231&gt;$B$6*12,"",F230)</f>
        <v/>
      </c>
      <c r="C231" s="20">
        <f>IF(A231&gt;$B$6*12,"",$B$7)</f>
        <v/>
      </c>
      <c r="D231" s="20">
        <f>IF(A231&gt;$B$6*12,"",B231*$B$5/12)</f>
        <v/>
      </c>
      <c r="E231" s="20">
        <f>IF(A231&gt;$B$6*12,"",C231-D231)</f>
        <v/>
      </c>
      <c r="F231" s="20">
        <f>IF(A231&gt;$B$6*12,"",B231-E231)</f>
        <v/>
      </c>
    </row>
    <row r="232">
      <c r="A232" s="2" t="n">
        <v>222</v>
      </c>
      <c r="B232" s="20">
        <f>IF(A232&gt;$B$6*12,"",F231)</f>
        <v/>
      </c>
      <c r="C232" s="20">
        <f>IF(A232&gt;$B$6*12,"",$B$7)</f>
        <v/>
      </c>
      <c r="D232" s="20">
        <f>IF(A232&gt;$B$6*12,"",B232*$B$5/12)</f>
        <v/>
      </c>
      <c r="E232" s="20">
        <f>IF(A232&gt;$B$6*12,"",C232-D232)</f>
        <v/>
      </c>
      <c r="F232" s="20">
        <f>IF(A232&gt;$B$6*12,"",B232-E232)</f>
        <v/>
      </c>
    </row>
    <row r="233">
      <c r="A233" s="2" t="n">
        <v>223</v>
      </c>
      <c r="B233" s="20">
        <f>IF(A233&gt;$B$6*12,"",F232)</f>
        <v/>
      </c>
      <c r="C233" s="20">
        <f>IF(A233&gt;$B$6*12,"",$B$7)</f>
        <v/>
      </c>
      <c r="D233" s="20">
        <f>IF(A233&gt;$B$6*12,"",B233*$B$5/12)</f>
        <v/>
      </c>
      <c r="E233" s="20">
        <f>IF(A233&gt;$B$6*12,"",C233-D233)</f>
        <v/>
      </c>
      <c r="F233" s="20">
        <f>IF(A233&gt;$B$6*12,"",B233-E233)</f>
        <v/>
      </c>
    </row>
    <row r="234">
      <c r="A234" s="2" t="n">
        <v>224</v>
      </c>
      <c r="B234" s="20">
        <f>IF(A234&gt;$B$6*12,"",F233)</f>
        <v/>
      </c>
      <c r="C234" s="20">
        <f>IF(A234&gt;$B$6*12,"",$B$7)</f>
        <v/>
      </c>
      <c r="D234" s="20">
        <f>IF(A234&gt;$B$6*12,"",B234*$B$5/12)</f>
        <v/>
      </c>
      <c r="E234" s="20">
        <f>IF(A234&gt;$B$6*12,"",C234-D234)</f>
        <v/>
      </c>
      <c r="F234" s="20">
        <f>IF(A234&gt;$B$6*12,"",B234-E234)</f>
        <v/>
      </c>
    </row>
    <row r="235">
      <c r="A235" s="2" t="n">
        <v>225</v>
      </c>
      <c r="B235" s="20">
        <f>IF(A235&gt;$B$6*12,"",F234)</f>
        <v/>
      </c>
      <c r="C235" s="20">
        <f>IF(A235&gt;$B$6*12,"",$B$7)</f>
        <v/>
      </c>
      <c r="D235" s="20">
        <f>IF(A235&gt;$B$6*12,"",B235*$B$5/12)</f>
        <v/>
      </c>
      <c r="E235" s="20">
        <f>IF(A235&gt;$B$6*12,"",C235-D235)</f>
        <v/>
      </c>
      <c r="F235" s="20">
        <f>IF(A235&gt;$B$6*12,"",B235-E235)</f>
        <v/>
      </c>
    </row>
    <row r="236">
      <c r="A236" s="2" t="n">
        <v>226</v>
      </c>
      <c r="B236" s="20">
        <f>IF(A236&gt;$B$6*12,"",F235)</f>
        <v/>
      </c>
      <c r="C236" s="20">
        <f>IF(A236&gt;$B$6*12,"",$B$7)</f>
        <v/>
      </c>
      <c r="D236" s="20">
        <f>IF(A236&gt;$B$6*12,"",B236*$B$5/12)</f>
        <v/>
      </c>
      <c r="E236" s="20">
        <f>IF(A236&gt;$B$6*12,"",C236-D236)</f>
        <v/>
      </c>
      <c r="F236" s="20">
        <f>IF(A236&gt;$B$6*12,"",B236-E236)</f>
        <v/>
      </c>
    </row>
    <row r="237">
      <c r="A237" s="2" t="n">
        <v>227</v>
      </c>
      <c r="B237" s="20">
        <f>IF(A237&gt;$B$6*12,"",F236)</f>
        <v/>
      </c>
      <c r="C237" s="20">
        <f>IF(A237&gt;$B$6*12,"",$B$7)</f>
        <v/>
      </c>
      <c r="D237" s="20">
        <f>IF(A237&gt;$B$6*12,"",B237*$B$5/12)</f>
        <v/>
      </c>
      <c r="E237" s="20">
        <f>IF(A237&gt;$B$6*12,"",C237-D237)</f>
        <v/>
      </c>
      <c r="F237" s="20">
        <f>IF(A237&gt;$B$6*12,"",B237-E237)</f>
        <v/>
      </c>
    </row>
    <row r="238">
      <c r="A238" s="2" t="n">
        <v>228</v>
      </c>
      <c r="B238" s="20">
        <f>IF(A238&gt;$B$6*12,"",F237)</f>
        <v/>
      </c>
      <c r="C238" s="20">
        <f>IF(A238&gt;$B$6*12,"",$B$7)</f>
        <v/>
      </c>
      <c r="D238" s="20">
        <f>IF(A238&gt;$B$6*12,"",B238*$B$5/12)</f>
        <v/>
      </c>
      <c r="E238" s="20">
        <f>IF(A238&gt;$B$6*12,"",C238-D238)</f>
        <v/>
      </c>
      <c r="F238" s="20">
        <f>IF(A238&gt;$B$6*12,"",B238-E238)</f>
        <v/>
      </c>
    </row>
    <row r="239">
      <c r="A239" s="2" t="n">
        <v>229</v>
      </c>
      <c r="B239" s="20">
        <f>IF(A239&gt;$B$6*12,"",F238)</f>
        <v/>
      </c>
      <c r="C239" s="20">
        <f>IF(A239&gt;$B$6*12,"",$B$7)</f>
        <v/>
      </c>
      <c r="D239" s="20">
        <f>IF(A239&gt;$B$6*12,"",B239*$B$5/12)</f>
        <v/>
      </c>
      <c r="E239" s="20">
        <f>IF(A239&gt;$B$6*12,"",C239-D239)</f>
        <v/>
      </c>
      <c r="F239" s="20">
        <f>IF(A239&gt;$B$6*12,"",B239-E239)</f>
        <v/>
      </c>
    </row>
    <row r="240">
      <c r="A240" s="2" t="n">
        <v>230</v>
      </c>
      <c r="B240" s="20">
        <f>IF(A240&gt;$B$6*12,"",F239)</f>
        <v/>
      </c>
      <c r="C240" s="20">
        <f>IF(A240&gt;$B$6*12,"",$B$7)</f>
        <v/>
      </c>
      <c r="D240" s="20">
        <f>IF(A240&gt;$B$6*12,"",B240*$B$5/12)</f>
        <v/>
      </c>
      <c r="E240" s="20">
        <f>IF(A240&gt;$B$6*12,"",C240-D240)</f>
        <v/>
      </c>
      <c r="F240" s="20">
        <f>IF(A240&gt;$B$6*12,"",B240-E240)</f>
        <v/>
      </c>
    </row>
    <row r="241">
      <c r="A241" s="2" t="n">
        <v>231</v>
      </c>
      <c r="B241" s="20">
        <f>IF(A241&gt;$B$6*12,"",F240)</f>
        <v/>
      </c>
      <c r="C241" s="20">
        <f>IF(A241&gt;$B$6*12,"",$B$7)</f>
        <v/>
      </c>
      <c r="D241" s="20">
        <f>IF(A241&gt;$B$6*12,"",B241*$B$5/12)</f>
        <v/>
      </c>
      <c r="E241" s="20">
        <f>IF(A241&gt;$B$6*12,"",C241-D241)</f>
        <v/>
      </c>
      <c r="F241" s="20">
        <f>IF(A241&gt;$B$6*12,"",B241-E241)</f>
        <v/>
      </c>
    </row>
    <row r="242">
      <c r="A242" s="2" t="n">
        <v>232</v>
      </c>
      <c r="B242" s="20">
        <f>IF(A242&gt;$B$6*12,"",F241)</f>
        <v/>
      </c>
      <c r="C242" s="20">
        <f>IF(A242&gt;$B$6*12,"",$B$7)</f>
        <v/>
      </c>
      <c r="D242" s="20">
        <f>IF(A242&gt;$B$6*12,"",B242*$B$5/12)</f>
        <v/>
      </c>
      <c r="E242" s="20">
        <f>IF(A242&gt;$B$6*12,"",C242-D242)</f>
        <v/>
      </c>
      <c r="F242" s="20">
        <f>IF(A242&gt;$B$6*12,"",B242-E242)</f>
        <v/>
      </c>
    </row>
    <row r="243">
      <c r="A243" s="2" t="n">
        <v>233</v>
      </c>
      <c r="B243" s="20">
        <f>IF(A243&gt;$B$6*12,"",F242)</f>
        <v/>
      </c>
      <c r="C243" s="20">
        <f>IF(A243&gt;$B$6*12,"",$B$7)</f>
        <v/>
      </c>
      <c r="D243" s="20">
        <f>IF(A243&gt;$B$6*12,"",B243*$B$5/12)</f>
        <v/>
      </c>
      <c r="E243" s="20">
        <f>IF(A243&gt;$B$6*12,"",C243-D243)</f>
        <v/>
      </c>
      <c r="F243" s="20">
        <f>IF(A243&gt;$B$6*12,"",B243-E243)</f>
        <v/>
      </c>
    </row>
    <row r="244">
      <c r="A244" s="2" t="n">
        <v>234</v>
      </c>
      <c r="B244" s="20">
        <f>IF(A244&gt;$B$6*12,"",F243)</f>
        <v/>
      </c>
      <c r="C244" s="20">
        <f>IF(A244&gt;$B$6*12,"",$B$7)</f>
        <v/>
      </c>
      <c r="D244" s="20">
        <f>IF(A244&gt;$B$6*12,"",B244*$B$5/12)</f>
        <v/>
      </c>
      <c r="E244" s="20">
        <f>IF(A244&gt;$B$6*12,"",C244-D244)</f>
        <v/>
      </c>
      <c r="F244" s="20">
        <f>IF(A244&gt;$B$6*12,"",B244-E244)</f>
        <v/>
      </c>
    </row>
    <row r="245">
      <c r="A245" s="2" t="n">
        <v>235</v>
      </c>
      <c r="B245" s="20">
        <f>IF(A245&gt;$B$6*12,"",F244)</f>
        <v/>
      </c>
      <c r="C245" s="20">
        <f>IF(A245&gt;$B$6*12,"",$B$7)</f>
        <v/>
      </c>
      <c r="D245" s="20">
        <f>IF(A245&gt;$B$6*12,"",B245*$B$5/12)</f>
        <v/>
      </c>
      <c r="E245" s="20">
        <f>IF(A245&gt;$B$6*12,"",C245-D245)</f>
        <v/>
      </c>
      <c r="F245" s="20">
        <f>IF(A245&gt;$B$6*12,"",B245-E245)</f>
        <v/>
      </c>
    </row>
    <row r="246">
      <c r="A246" s="2" t="n">
        <v>236</v>
      </c>
      <c r="B246" s="20">
        <f>IF(A246&gt;$B$6*12,"",F245)</f>
        <v/>
      </c>
      <c r="C246" s="20">
        <f>IF(A246&gt;$B$6*12,"",$B$7)</f>
        <v/>
      </c>
      <c r="D246" s="20">
        <f>IF(A246&gt;$B$6*12,"",B246*$B$5/12)</f>
        <v/>
      </c>
      <c r="E246" s="20">
        <f>IF(A246&gt;$B$6*12,"",C246-D246)</f>
        <v/>
      </c>
      <c r="F246" s="20">
        <f>IF(A246&gt;$B$6*12,"",B246-E246)</f>
        <v/>
      </c>
    </row>
    <row r="247">
      <c r="A247" s="2" t="n">
        <v>237</v>
      </c>
      <c r="B247" s="20">
        <f>IF(A247&gt;$B$6*12,"",F246)</f>
        <v/>
      </c>
      <c r="C247" s="20">
        <f>IF(A247&gt;$B$6*12,"",$B$7)</f>
        <v/>
      </c>
      <c r="D247" s="20">
        <f>IF(A247&gt;$B$6*12,"",B247*$B$5/12)</f>
        <v/>
      </c>
      <c r="E247" s="20">
        <f>IF(A247&gt;$B$6*12,"",C247-D247)</f>
        <v/>
      </c>
      <c r="F247" s="20">
        <f>IF(A247&gt;$B$6*12,"",B247-E247)</f>
        <v/>
      </c>
    </row>
    <row r="248">
      <c r="A248" s="2" t="n">
        <v>238</v>
      </c>
      <c r="B248" s="20">
        <f>IF(A248&gt;$B$6*12,"",F247)</f>
        <v/>
      </c>
      <c r="C248" s="20">
        <f>IF(A248&gt;$B$6*12,"",$B$7)</f>
        <v/>
      </c>
      <c r="D248" s="20">
        <f>IF(A248&gt;$B$6*12,"",B248*$B$5/12)</f>
        <v/>
      </c>
      <c r="E248" s="20">
        <f>IF(A248&gt;$B$6*12,"",C248-D248)</f>
        <v/>
      </c>
      <c r="F248" s="20">
        <f>IF(A248&gt;$B$6*12,"",B248-E248)</f>
        <v/>
      </c>
    </row>
    <row r="249">
      <c r="A249" s="2" t="n">
        <v>239</v>
      </c>
      <c r="B249" s="20">
        <f>IF(A249&gt;$B$6*12,"",F248)</f>
        <v/>
      </c>
      <c r="C249" s="20">
        <f>IF(A249&gt;$B$6*12,"",$B$7)</f>
        <v/>
      </c>
      <c r="D249" s="20">
        <f>IF(A249&gt;$B$6*12,"",B249*$B$5/12)</f>
        <v/>
      </c>
      <c r="E249" s="20">
        <f>IF(A249&gt;$B$6*12,"",C249-D249)</f>
        <v/>
      </c>
      <c r="F249" s="20">
        <f>IF(A249&gt;$B$6*12,"",B249-E249)</f>
        <v/>
      </c>
    </row>
    <row r="250">
      <c r="A250" s="2" t="n">
        <v>240</v>
      </c>
      <c r="B250" s="20">
        <f>IF(A250&gt;$B$6*12,"",F249)</f>
        <v/>
      </c>
      <c r="C250" s="20">
        <f>IF(A250&gt;$B$6*12,"",$B$7)</f>
        <v/>
      </c>
      <c r="D250" s="20">
        <f>IF(A250&gt;$B$6*12,"",B250*$B$5/12)</f>
        <v/>
      </c>
      <c r="E250" s="20">
        <f>IF(A250&gt;$B$6*12,"",C250-D250)</f>
        <v/>
      </c>
      <c r="F250" s="20">
        <f>IF(A250&gt;$B$6*12,"",B250-E250)</f>
        <v/>
      </c>
    </row>
    <row r="251">
      <c r="A251" s="2" t="n">
        <v>241</v>
      </c>
      <c r="B251" s="20">
        <f>IF(A251&gt;$B$6*12,"",F250)</f>
        <v/>
      </c>
      <c r="C251" s="20">
        <f>IF(A251&gt;$B$6*12,"",$B$7)</f>
        <v/>
      </c>
      <c r="D251" s="20">
        <f>IF(A251&gt;$B$6*12,"",B251*$B$5/12)</f>
        <v/>
      </c>
      <c r="E251" s="20">
        <f>IF(A251&gt;$B$6*12,"",C251-D251)</f>
        <v/>
      </c>
      <c r="F251" s="20">
        <f>IF(A251&gt;$B$6*12,"",B251-E251)</f>
        <v/>
      </c>
    </row>
    <row r="252">
      <c r="A252" s="2" t="n">
        <v>242</v>
      </c>
      <c r="B252" s="20">
        <f>IF(A252&gt;$B$6*12,"",F251)</f>
        <v/>
      </c>
      <c r="C252" s="20">
        <f>IF(A252&gt;$B$6*12,"",$B$7)</f>
        <v/>
      </c>
      <c r="D252" s="20">
        <f>IF(A252&gt;$B$6*12,"",B252*$B$5/12)</f>
        <v/>
      </c>
      <c r="E252" s="20">
        <f>IF(A252&gt;$B$6*12,"",C252-D252)</f>
        <v/>
      </c>
      <c r="F252" s="20">
        <f>IF(A252&gt;$B$6*12,"",B252-E252)</f>
        <v/>
      </c>
    </row>
    <row r="253">
      <c r="A253" s="2" t="n">
        <v>243</v>
      </c>
      <c r="B253" s="20">
        <f>IF(A253&gt;$B$6*12,"",F252)</f>
        <v/>
      </c>
      <c r="C253" s="20">
        <f>IF(A253&gt;$B$6*12,"",$B$7)</f>
        <v/>
      </c>
      <c r="D253" s="20">
        <f>IF(A253&gt;$B$6*12,"",B253*$B$5/12)</f>
        <v/>
      </c>
      <c r="E253" s="20">
        <f>IF(A253&gt;$B$6*12,"",C253-D253)</f>
        <v/>
      </c>
      <c r="F253" s="20">
        <f>IF(A253&gt;$B$6*12,"",B253-E253)</f>
        <v/>
      </c>
    </row>
    <row r="254">
      <c r="A254" s="2" t="n">
        <v>244</v>
      </c>
      <c r="B254" s="20">
        <f>IF(A254&gt;$B$6*12,"",F253)</f>
        <v/>
      </c>
      <c r="C254" s="20">
        <f>IF(A254&gt;$B$6*12,"",$B$7)</f>
        <v/>
      </c>
      <c r="D254" s="20">
        <f>IF(A254&gt;$B$6*12,"",B254*$B$5/12)</f>
        <v/>
      </c>
      <c r="E254" s="20">
        <f>IF(A254&gt;$B$6*12,"",C254-D254)</f>
        <v/>
      </c>
      <c r="F254" s="20">
        <f>IF(A254&gt;$B$6*12,"",B254-E254)</f>
        <v/>
      </c>
    </row>
    <row r="255">
      <c r="A255" s="2" t="n">
        <v>245</v>
      </c>
      <c r="B255" s="20">
        <f>IF(A255&gt;$B$6*12,"",F254)</f>
        <v/>
      </c>
      <c r="C255" s="20">
        <f>IF(A255&gt;$B$6*12,"",$B$7)</f>
        <v/>
      </c>
      <c r="D255" s="20">
        <f>IF(A255&gt;$B$6*12,"",B255*$B$5/12)</f>
        <v/>
      </c>
      <c r="E255" s="20">
        <f>IF(A255&gt;$B$6*12,"",C255-D255)</f>
        <v/>
      </c>
      <c r="F255" s="20">
        <f>IF(A255&gt;$B$6*12,"",B255-E255)</f>
        <v/>
      </c>
    </row>
    <row r="256">
      <c r="A256" s="2" t="n">
        <v>246</v>
      </c>
      <c r="B256" s="20">
        <f>IF(A256&gt;$B$6*12,"",F255)</f>
        <v/>
      </c>
      <c r="C256" s="20">
        <f>IF(A256&gt;$B$6*12,"",$B$7)</f>
        <v/>
      </c>
      <c r="D256" s="20">
        <f>IF(A256&gt;$B$6*12,"",B256*$B$5/12)</f>
        <v/>
      </c>
      <c r="E256" s="20">
        <f>IF(A256&gt;$B$6*12,"",C256-D256)</f>
        <v/>
      </c>
      <c r="F256" s="20">
        <f>IF(A256&gt;$B$6*12,"",B256-E256)</f>
        <v/>
      </c>
    </row>
    <row r="257">
      <c r="A257" s="2" t="n">
        <v>247</v>
      </c>
      <c r="B257" s="20">
        <f>IF(A257&gt;$B$6*12,"",F256)</f>
        <v/>
      </c>
      <c r="C257" s="20">
        <f>IF(A257&gt;$B$6*12,"",$B$7)</f>
        <v/>
      </c>
      <c r="D257" s="20">
        <f>IF(A257&gt;$B$6*12,"",B257*$B$5/12)</f>
        <v/>
      </c>
      <c r="E257" s="20">
        <f>IF(A257&gt;$B$6*12,"",C257-D257)</f>
        <v/>
      </c>
      <c r="F257" s="20">
        <f>IF(A257&gt;$B$6*12,"",B257-E257)</f>
        <v/>
      </c>
    </row>
    <row r="258">
      <c r="A258" s="2" t="n">
        <v>248</v>
      </c>
      <c r="B258" s="20">
        <f>IF(A258&gt;$B$6*12,"",F257)</f>
        <v/>
      </c>
      <c r="C258" s="20">
        <f>IF(A258&gt;$B$6*12,"",$B$7)</f>
        <v/>
      </c>
      <c r="D258" s="20">
        <f>IF(A258&gt;$B$6*12,"",B258*$B$5/12)</f>
        <v/>
      </c>
      <c r="E258" s="20">
        <f>IF(A258&gt;$B$6*12,"",C258-D258)</f>
        <v/>
      </c>
      <c r="F258" s="20">
        <f>IF(A258&gt;$B$6*12,"",B258-E258)</f>
        <v/>
      </c>
    </row>
    <row r="259">
      <c r="A259" s="2" t="n">
        <v>249</v>
      </c>
      <c r="B259" s="20">
        <f>IF(A259&gt;$B$6*12,"",F258)</f>
        <v/>
      </c>
      <c r="C259" s="20">
        <f>IF(A259&gt;$B$6*12,"",$B$7)</f>
        <v/>
      </c>
      <c r="D259" s="20">
        <f>IF(A259&gt;$B$6*12,"",B259*$B$5/12)</f>
        <v/>
      </c>
      <c r="E259" s="20">
        <f>IF(A259&gt;$B$6*12,"",C259-D259)</f>
        <v/>
      </c>
      <c r="F259" s="20">
        <f>IF(A259&gt;$B$6*12,"",B259-E259)</f>
        <v/>
      </c>
    </row>
    <row r="260">
      <c r="A260" s="2" t="n">
        <v>250</v>
      </c>
      <c r="B260" s="20">
        <f>IF(A260&gt;$B$6*12,"",F259)</f>
        <v/>
      </c>
      <c r="C260" s="20">
        <f>IF(A260&gt;$B$6*12,"",$B$7)</f>
        <v/>
      </c>
      <c r="D260" s="20">
        <f>IF(A260&gt;$B$6*12,"",B260*$B$5/12)</f>
        <v/>
      </c>
      <c r="E260" s="20">
        <f>IF(A260&gt;$B$6*12,"",C260-D260)</f>
        <v/>
      </c>
      <c r="F260" s="20">
        <f>IF(A260&gt;$B$6*12,"",B260-E260)</f>
        <v/>
      </c>
    </row>
    <row r="261">
      <c r="A261" s="2" t="n">
        <v>251</v>
      </c>
      <c r="B261" s="20">
        <f>IF(A261&gt;$B$6*12,"",F260)</f>
        <v/>
      </c>
      <c r="C261" s="20">
        <f>IF(A261&gt;$B$6*12,"",$B$7)</f>
        <v/>
      </c>
      <c r="D261" s="20">
        <f>IF(A261&gt;$B$6*12,"",B261*$B$5/12)</f>
        <v/>
      </c>
      <c r="E261" s="20">
        <f>IF(A261&gt;$B$6*12,"",C261-D261)</f>
        <v/>
      </c>
      <c r="F261" s="20">
        <f>IF(A261&gt;$B$6*12,"",B261-E261)</f>
        <v/>
      </c>
    </row>
    <row r="262">
      <c r="A262" s="2" t="n">
        <v>252</v>
      </c>
      <c r="B262" s="20">
        <f>IF(A262&gt;$B$6*12,"",F261)</f>
        <v/>
      </c>
      <c r="C262" s="20">
        <f>IF(A262&gt;$B$6*12,"",$B$7)</f>
        <v/>
      </c>
      <c r="D262" s="20">
        <f>IF(A262&gt;$B$6*12,"",B262*$B$5/12)</f>
        <v/>
      </c>
      <c r="E262" s="20">
        <f>IF(A262&gt;$B$6*12,"",C262-D262)</f>
        <v/>
      </c>
      <c r="F262" s="20">
        <f>IF(A262&gt;$B$6*12,"",B262-E262)</f>
        <v/>
      </c>
    </row>
    <row r="263">
      <c r="A263" s="2" t="n">
        <v>253</v>
      </c>
      <c r="B263" s="20">
        <f>IF(A263&gt;$B$6*12,"",F262)</f>
        <v/>
      </c>
      <c r="C263" s="20">
        <f>IF(A263&gt;$B$6*12,"",$B$7)</f>
        <v/>
      </c>
      <c r="D263" s="20">
        <f>IF(A263&gt;$B$6*12,"",B263*$B$5/12)</f>
        <v/>
      </c>
      <c r="E263" s="20">
        <f>IF(A263&gt;$B$6*12,"",C263-D263)</f>
        <v/>
      </c>
      <c r="F263" s="20">
        <f>IF(A263&gt;$B$6*12,"",B263-E263)</f>
        <v/>
      </c>
    </row>
    <row r="264">
      <c r="A264" s="2" t="n">
        <v>254</v>
      </c>
      <c r="B264" s="20">
        <f>IF(A264&gt;$B$6*12,"",F263)</f>
        <v/>
      </c>
      <c r="C264" s="20">
        <f>IF(A264&gt;$B$6*12,"",$B$7)</f>
        <v/>
      </c>
      <c r="D264" s="20">
        <f>IF(A264&gt;$B$6*12,"",B264*$B$5/12)</f>
        <v/>
      </c>
      <c r="E264" s="20">
        <f>IF(A264&gt;$B$6*12,"",C264-D264)</f>
        <v/>
      </c>
      <c r="F264" s="20">
        <f>IF(A264&gt;$B$6*12,"",B264-E264)</f>
        <v/>
      </c>
    </row>
    <row r="265">
      <c r="A265" s="2" t="n">
        <v>255</v>
      </c>
      <c r="B265" s="20">
        <f>IF(A265&gt;$B$6*12,"",F264)</f>
        <v/>
      </c>
      <c r="C265" s="20">
        <f>IF(A265&gt;$B$6*12,"",$B$7)</f>
        <v/>
      </c>
      <c r="D265" s="20">
        <f>IF(A265&gt;$B$6*12,"",B265*$B$5/12)</f>
        <v/>
      </c>
      <c r="E265" s="20">
        <f>IF(A265&gt;$B$6*12,"",C265-D265)</f>
        <v/>
      </c>
      <c r="F265" s="20">
        <f>IF(A265&gt;$B$6*12,"",B265-E265)</f>
        <v/>
      </c>
    </row>
    <row r="266">
      <c r="A266" s="2" t="n">
        <v>256</v>
      </c>
      <c r="B266" s="20">
        <f>IF(A266&gt;$B$6*12,"",F265)</f>
        <v/>
      </c>
      <c r="C266" s="20">
        <f>IF(A266&gt;$B$6*12,"",$B$7)</f>
        <v/>
      </c>
      <c r="D266" s="20">
        <f>IF(A266&gt;$B$6*12,"",B266*$B$5/12)</f>
        <v/>
      </c>
      <c r="E266" s="20">
        <f>IF(A266&gt;$B$6*12,"",C266-D266)</f>
        <v/>
      </c>
      <c r="F266" s="20">
        <f>IF(A266&gt;$B$6*12,"",B266-E266)</f>
        <v/>
      </c>
    </row>
    <row r="267">
      <c r="A267" s="2" t="n">
        <v>257</v>
      </c>
      <c r="B267" s="20">
        <f>IF(A267&gt;$B$6*12,"",F266)</f>
        <v/>
      </c>
      <c r="C267" s="20">
        <f>IF(A267&gt;$B$6*12,"",$B$7)</f>
        <v/>
      </c>
      <c r="D267" s="20">
        <f>IF(A267&gt;$B$6*12,"",B267*$B$5/12)</f>
        <v/>
      </c>
      <c r="E267" s="20">
        <f>IF(A267&gt;$B$6*12,"",C267-D267)</f>
        <v/>
      </c>
      <c r="F267" s="20">
        <f>IF(A267&gt;$B$6*12,"",B267-E267)</f>
        <v/>
      </c>
    </row>
    <row r="268">
      <c r="A268" s="2" t="n">
        <v>258</v>
      </c>
      <c r="B268" s="20">
        <f>IF(A268&gt;$B$6*12,"",F267)</f>
        <v/>
      </c>
      <c r="C268" s="20">
        <f>IF(A268&gt;$B$6*12,"",$B$7)</f>
        <v/>
      </c>
      <c r="D268" s="20">
        <f>IF(A268&gt;$B$6*12,"",B268*$B$5/12)</f>
        <v/>
      </c>
      <c r="E268" s="20">
        <f>IF(A268&gt;$B$6*12,"",C268-D268)</f>
        <v/>
      </c>
      <c r="F268" s="20">
        <f>IF(A268&gt;$B$6*12,"",B268-E268)</f>
        <v/>
      </c>
    </row>
    <row r="269">
      <c r="A269" s="2" t="n">
        <v>259</v>
      </c>
      <c r="B269" s="20">
        <f>IF(A269&gt;$B$6*12,"",F268)</f>
        <v/>
      </c>
      <c r="C269" s="20">
        <f>IF(A269&gt;$B$6*12,"",$B$7)</f>
        <v/>
      </c>
      <c r="D269" s="20">
        <f>IF(A269&gt;$B$6*12,"",B269*$B$5/12)</f>
        <v/>
      </c>
      <c r="E269" s="20">
        <f>IF(A269&gt;$B$6*12,"",C269-D269)</f>
        <v/>
      </c>
      <c r="F269" s="20">
        <f>IF(A269&gt;$B$6*12,"",B269-E269)</f>
        <v/>
      </c>
    </row>
    <row r="270">
      <c r="A270" s="2" t="n">
        <v>260</v>
      </c>
      <c r="B270" s="20">
        <f>IF(A270&gt;$B$6*12,"",F269)</f>
        <v/>
      </c>
      <c r="C270" s="20">
        <f>IF(A270&gt;$B$6*12,"",$B$7)</f>
        <v/>
      </c>
      <c r="D270" s="20">
        <f>IF(A270&gt;$B$6*12,"",B270*$B$5/12)</f>
        <v/>
      </c>
      <c r="E270" s="20">
        <f>IF(A270&gt;$B$6*12,"",C270-D270)</f>
        <v/>
      </c>
      <c r="F270" s="20">
        <f>IF(A270&gt;$B$6*12,"",B270-E270)</f>
        <v/>
      </c>
    </row>
    <row r="271">
      <c r="A271" s="2" t="n">
        <v>261</v>
      </c>
      <c r="B271" s="20">
        <f>IF(A271&gt;$B$6*12,"",F270)</f>
        <v/>
      </c>
      <c r="C271" s="20">
        <f>IF(A271&gt;$B$6*12,"",$B$7)</f>
        <v/>
      </c>
      <c r="D271" s="20">
        <f>IF(A271&gt;$B$6*12,"",B271*$B$5/12)</f>
        <v/>
      </c>
      <c r="E271" s="20">
        <f>IF(A271&gt;$B$6*12,"",C271-D271)</f>
        <v/>
      </c>
      <c r="F271" s="20">
        <f>IF(A271&gt;$B$6*12,"",B271-E271)</f>
        <v/>
      </c>
    </row>
    <row r="272">
      <c r="A272" s="2" t="n">
        <v>262</v>
      </c>
      <c r="B272" s="20">
        <f>IF(A272&gt;$B$6*12,"",F271)</f>
        <v/>
      </c>
      <c r="C272" s="20">
        <f>IF(A272&gt;$B$6*12,"",$B$7)</f>
        <v/>
      </c>
      <c r="D272" s="20">
        <f>IF(A272&gt;$B$6*12,"",B272*$B$5/12)</f>
        <v/>
      </c>
      <c r="E272" s="20">
        <f>IF(A272&gt;$B$6*12,"",C272-D272)</f>
        <v/>
      </c>
      <c r="F272" s="20">
        <f>IF(A272&gt;$B$6*12,"",B272-E272)</f>
        <v/>
      </c>
    </row>
    <row r="273">
      <c r="A273" s="2" t="n">
        <v>263</v>
      </c>
      <c r="B273" s="20">
        <f>IF(A273&gt;$B$6*12,"",F272)</f>
        <v/>
      </c>
      <c r="C273" s="20">
        <f>IF(A273&gt;$B$6*12,"",$B$7)</f>
        <v/>
      </c>
      <c r="D273" s="20">
        <f>IF(A273&gt;$B$6*12,"",B273*$B$5/12)</f>
        <v/>
      </c>
      <c r="E273" s="20">
        <f>IF(A273&gt;$B$6*12,"",C273-D273)</f>
        <v/>
      </c>
      <c r="F273" s="20">
        <f>IF(A273&gt;$B$6*12,"",B273-E273)</f>
        <v/>
      </c>
    </row>
    <row r="274">
      <c r="A274" s="2" t="n">
        <v>264</v>
      </c>
      <c r="B274" s="20">
        <f>IF(A274&gt;$B$6*12,"",F273)</f>
        <v/>
      </c>
      <c r="C274" s="20">
        <f>IF(A274&gt;$B$6*12,"",$B$7)</f>
        <v/>
      </c>
      <c r="D274" s="20">
        <f>IF(A274&gt;$B$6*12,"",B274*$B$5/12)</f>
        <v/>
      </c>
      <c r="E274" s="20">
        <f>IF(A274&gt;$B$6*12,"",C274-D274)</f>
        <v/>
      </c>
      <c r="F274" s="20">
        <f>IF(A274&gt;$B$6*12,"",B274-E274)</f>
        <v/>
      </c>
    </row>
    <row r="275">
      <c r="A275" s="2" t="n">
        <v>265</v>
      </c>
      <c r="B275" s="20">
        <f>IF(A275&gt;$B$6*12,"",F274)</f>
        <v/>
      </c>
      <c r="C275" s="20">
        <f>IF(A275&gt;$B$6*12,"",$B$7)</f>
        <v/>
      </c>
      <c r="D275" s="20">
        <f>IF(A275&gt;$B$6*12,"",B275*$B$5/12)</f>
        <v/>
      </c>
      <c r="E275" s="20">
        <f>IF(A275&gt;$B$6*12,"",C275-D275)</f>
        <v/>
      </c>
      <c r="F275" s="20">
        <f>IF(A275&gt;$B$6*12,"",B275-E275)</f>
        <v/>
      </c>
    </row>
    <row r="276">
      <c r="A276" s="2" t="n">
        <v>266</v>
      </c>
      <c r="B276" s="20">
        <f>IF(A276&gt;$B$6*12,"",F275)</f>
        <v/>
      </c>
      <c r="C276" s="20">
        <f>IF(A276&gt;$B$6*12,"",$B$7)</f>
        <v/>
      </c>
      <c r="D276" s="20">
        <f>IF(A276&gt;$B$6*12,"",B276*$B$5/12)</f>
        <v/>
      </c>
      <c r="E276" s="20">
        <f>IF(A276&gt;$B$6*12,"",C276-D276)</f>
        <v/>
      </c>
      <c r="F276" s="20">
        <f>IF(A276&gt;$B$6*12,"",B276-E276)</f>
        <v/>
      </c>
    </row>
    <row r="277">
      <c r="A277" s="2" t="n">
        <v>267</v>
      </c>
      <c r="B277" s="20">
        <f>IF(A277&gt;$B$6*12,"",F276)</f>
        <v/>
      </c>
      <c r="C277" s="20">
        <f>IF(A277&gt;$B$6*12,"",$B$7)</f>
        <v/>
      </c>
      <c r="D277" s="20">
        <f>IF(A277&gt;$B$6*12,"",B277*$B$5/12)</f>
        <v/>
      </c>
      <c r="E277" s="20">
        <f>IF(A277&gt;$B$6*12,"",C277-D277)</f>
        <v/>
      </c>
      <c r="F277" s="20">
        <f>IF(A277&gt;$B$6*12,"",B277-E277)</f>
        <v/>
      </c>
    </row>
    <row r="278">
      <c r="A278" s="2" t="n">
        <v>268</v>
      </c>
      <c r="B278" s="20">
        <f>IF(A278&gt;$B$6*12,"",F277)</f>
        <v/>
      </c>
      <c r="C278" s="20">
        <f>IF(A278&gt;$B$6*12,"",$B$7)</f>
        <v/>
      </c>
      <c r="D278" s="20">
        <f>IF(A278&gt;$B$6*12,"",B278*$B$5/12)</f>
        <v/>
      </c>
      <c r="E278" s="20">
        <f>IF(A278&gt;$B$6*12,"",C278-D278)</f>
        <v/>
      </c>
      <c r="F278" s="20">
        <f>IF(A278&gt;$B$6*12,"",B278-E278)</f>
        <v/>
      </c>
    </row>
    <row r="279">
      <c r="A279" s="2" t="n">
        <v>269</v>
      </c>
      <c r="B279" s="20">
        <f>IF(A279&gt;$B$6*12,"",F278)</f>
        <v/>
      </c>
      <c r="C279" s="20">
        <f>IF(A279&gt;$B$6*12,"",$B$7)</f>
        <v/>
      </c>
      <c r="D279" s="20">
        <f>IF(A279&gt;$B$6*12,"",B279*$B$5/12)</f>
        <v/>
      </c>
      <c r="E279" s="20">
        <f>IF(A279&gt;$B$6*12,"",C279-D279)</f>
        <v/>
      </c>
      <c r="F279" s="20">
        <f>IF(A279&gt;$B$6*12,"",B279-E279)</f>
        <v/>
      </c>
    </row>
    <row r="280">
      <c r="A280" s="2" t="n">
        <v>270</v>
      </c>
      <c r="B280" s="20">
        <f>IF(A280&gt;$B$6*12,"",F279)</f>
        <v/>
      </c>
      <c r="C280" s="20">
        <f>IF(A280&gt;$B$6*12,"",$B$7)</f>
        <v/>
      </c>
      <c r="D280" s="20">
        <f>IF(A280&gt;$B$6*12,"",B280*$B$5/12)</f>
        <v/>
      </c>
      <c r="E280" s="20">
        <f>IF(A280&gt;$B$6*12,"",C280-D280)</f>
        <v/>
      </c>
      <c r="F280" s="20">
        <f>IF(A280&gt;$B$6*12,"",B280-E280)</f>
        <v/>
      </c>
    </row>
    <row r="281">
      <c r="A281" s="2" t="n">
        <v>271</v>
      </c>
      <c r="B281" s="20">
        <f>IF(A281&gt;$B$6*12,"",F280)</f>
        <v/>
      </c>
      <c r="C281" s="20">
        <f>IF(A281&gt;$B$6*12,"",$B$7)</f>
        <v/>
      </c>
      <c r="D281" s="20">
        <f>IF(A281&gt;$B$6*12,"",B281*$B$5/12)</f>
        <v/>
      </c>
      <c r="E281" s="20">
        <f>IF(A281&gt;$B$6*12,"",C281-D281)</f>
        <v/>
      </c>
      <c r="F281" s="20">
        <f>IF(A281&gt;$B$6*12,"",B281-E281)</f>
        <v/>
      </c>
    </row>
    <row r="282">
      <c r="A282" s="2" t="n">
        <v>272</v>
      </c>
      <c r="B282" s="20">
        <f>IF(A282&gt;$B$6*12,"",F281)</f>
        <v/>
      </c>
      <c r="C282" s="20">
        <f>IF(A282&gt;$B$6*12,"",$B$7)</f>
        <v/>
      </c>
      <c r="D282" s="20">
        <f>IF(A282&gt;$B$6*12,"",B282*$B$5/12)</f>
        <v/>
      </c>
      <c r="E282" s="20">
        <f>IF(A282&gt;$B$6*12,"",C282-D282)</f>
        <v/>
      </c>
      <c r="F282" s="20">
        <f>IF(A282&gt;$B$6*12,"",B282-E282)</f>
        <v/>
      </c>
    </row>
    <row r="283">
      <c r="A283" s="2" t="n">
        <v>273</v>
      </c>
      <c r="B283" s="20">
        <f>IF(A283&gt;$B$6*12,"",F282)</f>
        <v/>
      </c>
      <c r="C283" s="20">
        <f>IF(A283&gt;$B$6*12,"",$B$7)</f>
        <v/>
      </c>
      <c r="D283" s="20">
        <f>IF(A283&gt;$B$6*12,"",B283*$B$5/12)</f>
        <v/>
      </c>
      <c r="E283" s="20">
        <f>IF(A283&gt;$B$6*12,"",C283-D283)</f>
        <v/>
      </c>
      <c r="F283" s="20">
        <f>IF(A283&gt;$B$6*12,"",B283-E283)</f>
        <v/>
      </c>
    </row>
    <row r="284">
      <c r="A284" s="2" t="n">
        <v>274</v>
      </c>
      <c r="B284" s="20">
        <f>IF(A284&gt;$B$6*12,"",F283)</f>
        <v/>
      </c>
      <c r="C284" s="20">
        <f>IF(A284&gt;$B$6*12,"",$B$7)</f>
        <v/>
      </c>
      <c r="D284" s="20">
        <f>IF(A284&gt;$B$6*12,"",B284*$B$5/12)</f>
        <v/>
      </c>
      <c r="E284" s="20">
        <f>IF(A284&gt;$B$6*12,"",C284-D284)</f>
        <v/>
      </c>
      <c r="F284" s="20">
        <f>IF(A284&gt;$B$6*12,"",B284-E284)</f>
        <v/>
      </c>
    </row>
    <row r="285">
      <c r="A285" s="2" t="n">
        <v>275</v>
      </c>
      <c r="B285" s="20">
        <f>IF(A285&gt;$B$6*12,"",F284)</f>
        <v/>
      </c>
      <c r="C285" s="20">
        <f>IF(A285&gt;$B$6*12,"",$B$7)</f>
        <v/>
      </c>
      <c r="D285" s="20">
        <f>IF(A285&gt;$B$6*12,"",B285*$B$5/12)</f>
        <v/>
      </c>
      <c r="E285" s="20">
        <f>IF(A285&gt;$B$6*12,"",C285-D285)</f>
        <v/>
      </c>
      <c r="F285" s="20">
        <f>IF(A285&gt;$B$6*12,"",B285-E285)</f>
        <v/>
      </c>
    </row>
    <row r="286">
      <c r="A286" s="2" t="n">
        <v>276</v>
      </c>
      <c r="B286" s="20">
        <f>IF(A286&gt;$B$6*12,"",F285)</f>
        <v/>
      </c>
      <c r="C286" s="20">
        <f>IF(A286&gt;$B$6*12,"",$B$7)</f>
        <v/>
      </c>
      <c r="D286" s="20">
        <f>IF(A286&gt;$B$6*12,"",B286*$B$5/12)</f>
        <v/>
      </c>
      <c r="E286" s="20">
        <f>IF(A286&gt;$B$6*12,"",C286-D286)</f>
        <v/>
      </c>
      <c r="F286" s="20">
        <f>IF(A286&gt;$B$6*12,"",B286-E286)</f>
        <v/>
      </c>
    </row>
    <row r="287">
      <c r="A287" s="2" t="n">
        <v>277</v>
      </c>
      <c r="B287" s="20">
        <f>IF(A287&gt;$B$6*12,"",F286)</f>
        <v/>
      </c>
      <c r="C287" s="20">
        <f>IF(A287&gt;$B$6*12,"",$B$7)</f>
        <v/>
      </c>
      <c r="D287" s="20">
        <f>IF(A287&gt;$B$6*12,"",B287*$B$5/12)</f>
        <v/>
      </c>
      <c r="E287" s="20">
        <f>IF(A287&gt;$B$6*12,"",C287-D287)</f>
        <v/>
      </c>
      <c r="F287" s="20">
        <f>IF(A287&gt;$B$6*12,"",B287-E287)</f>
        <v/>
      </c>
    </row>
    <row r="288">
      <c r="A288" s="2" t="n">
        <v>278</v>
      </c>
      <c r="B288" s="20">
        <f>IF(A288&gt;$B$6*12,"",F287)</f>
        <v/>
      </c>
      <c r="C288" s="20">
        <f>IF(A288&gt;$B$6*12,"",$B$7)</f>
        <v/>
      </c>
      <c r="D288" s="20">
        <f>IF(A288&gt;$B$6*12,"",B288*$B$5/12)</f>
        <v/>
      </c>
      <c r="E288" s="20">
        <f>IF(A288&gt;$B$6*12,"",C288-D288)</f>
        <v/>
      </c>
      <c r="F288" s="20">
        <f>IF(A288&gt;$B$6*12,"",B288-E288)</f>
        <v/>
      </c>
    </row>
    <row r="289">
      <c r="A289" s="2" t="n">
        <v>279</v>
      </c>
      <c r="B289" s="20">
        <f>IF(A289&gt;$B$6*12,"",F288)</f>
        <v/>
      </c>
      <c r="C289" s="20">
        <f>IF(A289&gt;$B$6*12,"",$B$7)</f>
        <v/>
      </c>
      <c r="D289" s="20">
        <f>IF(A289&gt;$B$6*12,"",B289*$B$5/12)</f>
        <v/>
      </c>
      <c r="E289" s="20">
        <f>IF(A289&gt;$B$6*12,"",C289-D289)</f>
        <v/>
      </c>
      <c r="F289" s="20">
        <f>IF(A289&gt;$B$6*12,"",B289-E289)</f>
        <v/>
      </c>
    </row>
    <row r="290">
      <c r="A290" s="2" t="n">
        <v>280</v>
      </c>
      <c r="B290" s="20">
        <f>IF(A290&gt;$B$6*12,"",F289)</f>
        <v/>
      </c>
      <c r="C290" s="20">
        <f>IF(A290&gt;$B$6*12,"",$B$7)</f>
        <v/>
      </c>
      <c r="D290" s="20">
        <f>IF(A290&gt;$B$6*12,"",B290*$B$5/12)</f>
        <v/>
      </c>
      <c r="E290" s="20">
        <f>IF(A290&gt;$B$6*12,"",C290-D290)</f>
        <v/>
      </c>
      <c r="F290" s="20">
        <f>IF(A290&gt;$B$6*12,"",B290-E290)</f>
        <v/>
      </c>
    </row>
    <row r="291">
      <c r="A291" s="2" t="n">
        <v>281</v>
      </c>
      <c r="B291" s="20">
        <f>IF(A291&gt;$B$6*12,"",F290)</f>
        <v/>
      </c>
      <c r="C291" s="20">
        <f>IF(A291&gt;$B$6*12,"",$B$7)</f>
        <v/>
      </c>
      <c r="D291" s="20">
        <f>IF(A291&gt;$B$6*12,"",B291*$B$5/12)</f>
        <v/>
      </c>
      <c r="E291" s="20">
        <f>IF(A291&gt;$B$6*12,"",C291-D291)</f>
        <v/>
      </c>
      <c r="F291" s="20">
        <f>IF(A291&gt;$B$6*12,"",B291-E291)</f>
        <v/>
      </c>
    </row>
    <row r="292">
      <c r="A292" s="2" t="n">
        <v>282</v>
      </c>
      <c r="B292" s="20">
        <f>IF(A292&gt;$B$6*12,"",F291)</f>
        <v/>
      </c>
      <c r="C292" s="20">
        <f>IF(A292&gt;$B$6*12,"",$B$7)</f>
        <v/>
      </c>
      <c r="D292" s="20">
        <f>IF(A292&gt;$B$6*12,"",B292*$B$5/12)</f>
        <v/>
      </c>
      <c r="E292" s="20">
        <f>IF(A292&gt;$B$6*12,"",C292-D292)</f>
        <v/>
      </c>
      <c r="F292" s="20">
        <f>IF(A292&gt;$B$6*12,"",B292-E292)</f>
        <v/>
      </c>
    </row>
    <row r="293">
      <c r="A293" s="2" t="n">
        <v>283</v>
      </c>
      <c r="B293" s="20">
        <f>IF(A293&gt;$B$6*12,"",F292)</f>
        <v/>
      </c>
      <c r="C293" s="20">
        <f>IF(A293&gt;$B$6*12,"",$B$7)</f>
        <v/>
      </c>
      <c r="D293" s="20">
        <f>IF(A293&gt;$B$6*12,"",B293*$B$5/12)</f>
        <v/>
      </c>
      <c r="E293" s="20">
        <f>IF(A293&gt;$B$6*12,"",C293-D293)</f>
        <v/>
      </c>
      <c r="F293" s="20">
        <f>IF(A293&gt;$B$6*12,"",B293-E293)</f>
        <v/>
      </c>
    </row>
    <row r="294">
      <c r="A294" s="2" t="n">
        <v>284</v>
      </c>
      <c r="B294" s="20">
        <f>IF(A294&gt;$B$6*12,"",F293)</f>
        <v/>
      </c>
      <c r="C294" s="20">
        <f>IF(A294&gt;$B$6*12,"",$B$7)</f>
        <v/>
      </c>
      <c r="D294" s="20">
        <f>IF(A294&gt;$B$6*12,"",B294*$B$5/12)</f>
        <v/>
      </c>
      <c r="E294" s="20">
        <f>IF(A294&gt;$B$6*12,"",C294-D294)</f>
        <v/>
      </c>
      <c r="F294" s="20">
        <f>IF(A294&gt;$B$6*12,"",B294-E294)</f>
        <v/>
      </c>
    </row>
    <row r="295">
      <c r="A295" s="2" t="n">
        <v>285</v>
      </c>
      <c r="B295" s="20">
        <f>IF(A295&gt;$B$6*12,"",F294)</f>
        <v/>
      </c>
      <c r="C295" s="20">
        <f>IF(A295&gt;$B$6*12,"",$B$7)</f>
        <v/>
      </c>
      <c r="D295" s="20">
        <f>IF(A295&gt;$B$6*12,"",B295*$B$5/12)</f>
        <v/>
      </c>
      <c r="E295" s="20">
        <f>IF(A295&gt;$B$6*12,"",C295-D295)</f>
        <v/>
      </c>
      <c r="F295" s="20">
        <f>IF(A295&gt;$B$6*12,"",B295-E295)</f>
        <v/>
      </c>
    </row>
    <row r="296">
      <c r="A296" s="2" t="n">
        <v>286</v>
      </c>
      <c r="B296" s="20">
        <f>IF(A296&gt;$B$6*12,"",F295)</f>
        <v/>
      </c>
      <c r="C296" s="20">
        <f>IF(A296&gt;$B$6*12,"",$B$7)</f>
        <v/>
      </c>
      <c r="D296" s="20">
        <f>IF(A296&gt;$B$6*12,"",B296*$B$5/12)</f>
        <v/>
      </c>
      <c r="E296" s="20">
        <f>IF(A296&gt;$B$6*12,"",C296-D296)</f>
        <v/>
      </c>
      <c r="F296" s="20">
        <f>IF(A296&gt;$B$6*12,"",B296-E296)</f>
        <v/>
      </c>
    </row>
    <row r="297">
      <c r="A297" s="2" t="n">
        <v>287</v>
      </c>
      <c r="B297" s="20">
        <f>IF(A297&gt;$B$6*12,"",F296)</f>
        <v/>
      </c>
      <c r="C297" s="20">
        <f>IF(A297&gt;$B$6*12,"",$B$7)</f>
        <v/>
      </c>
      <c r="D297" s="20">
        <f>IF(A297&gt;$B$6*12,"",B297*$B$5/12)</f>
        <v/>
      </c>
      <c r="E297" s="20">
        <f>IF(A297&gt;$B$6*12,"",C297-D297)</f>
        <v/>
      </c>
      <c r="F297" s="20">
        <f>IF(A297&gt;$B$6*12,"",B297-E297)</f>
        <v/>
      </c>
    </row>
    <row r="298">
      <c r="A298" s="2" t="n">
        <v>288</v>
      </c>
      <c r="B298" s="20">
        <f>IF(A298&gt;$B$6*12,"",F297)</f>
        <v/>
      </c>
      <c r="C298" s="20">
        <f>IF(A298&gt;$B$6*12,"",$B$7)</f>
        <v/>
      </c>
      <c r="D298" s="20">
        <f>IF(A298&gt;$B$6*12,"",B298*$B$5/12)</f>
        <v/>
      </c>
      <c r="E298" s="20">
        <f>IF(A298&gt;$B$6*12,"",C298-D298)</f>
        <v/>
      </c>
      <c r="F298" s="20">
        <f>IF(A298&gt;$B$6*12,"",B298-E298)</f>
        <v/>
      </c>
    </row>
    <row r="299">
      <c r="A299" s="2" t="n">
        <v>289</v>
      </c>
      <c r="B299" s="20">
        <f>IF(A299&gt;$B$6*12,"",F298)</f>
        <v/>
      </c>
      <c r="C299" s="20">
        <f>IF(A299&gt;$B$6*12,"",$B$7)</f>
        <v/>
      </c>
      <c r="D299" s="20">
        <f>IF(A299&gt;$B$6*12,"",B299*$B$5/12)</f>
        <v/>
      </c>
      <c r="E299" s="20">
        <f>IF(A299&gt;$B$6*12,"",C299-D299)</f>
        <v/>
      </c>
      <c r="F299" s="20">
        <f>IF(A299&gt;$B$6*12,"",B299-E299)</f>
        <v/>
      </c>
    </row>
    <row r="300">
      <c r="A300" s="2" t="n">
        <v>290</v>
      </c>
      <c r="B300" s="20">
        <f>IF(A300&gt;$B$6*12,"",F299)</f>
        <v/>
      </c>
      <c r="C300" s="20">
        <f>IF(A300&gt;$B$6*12,"",$B$7)</f>
        <v/>
      </c>
      <c r="D300" s="20">
        <f>IF(A300&gt;$B$6*12,"",B300*$B$5/12)</f>
        <v/>
      </c>
      <c r="E300" s="20">
        <f>IF(A300&gt;$B$6*12,"",C300-D300)</f>
        <v/>
      </c>
      <c r="F300" s="20">
        <f>IF(A300&gt;$B$6*12,"",B300-E300)</f>
        <v/>
      </c>
    </row>
    <row r="301">
      <c r="A301" s="2" t="n">
        <v>291</v>
      </c>
      <c r="B301" s="20">
        <f>IF(A301&gt;$B$6*12,"",F300)</f>
        <v/>
      </c>
      <c r="C301" s="20">
        <f>IF(A301&gt;$B$6*12,"",$B$7)</f>
        <v/>
      </c>
      <c r="D301" s="20">
        <f>IF(A301&gt;$B$6*12,"",B301*$B$5/12)</f>
        <v/>
      </c>
      <c r="E301" s="20">
        <f>IF(A301&gt;$B$6*12,"",C301-D301)</f>
        <v/>
      </c>
      <c r="F301" s="20">
        <f>IF(A301&gt;$B$6*12,"",B301-E301)</f>
        <v/>
      </c>
    </row>
    <row r="302">
      <c r="A302" s="2" t="n">
        <v>292</v>
      </c>
      <c r="B302" s="20">
        <f>IF(A302&gt;$B$6*12,"",F301)</f>
        <v/>
      </c>
      <c r="C302" s="20">
        <f>IF(A302&gt;$B$6*12,"",$B$7)</f>
        <v/>
      </c>
      <c r="D302" s="20">
        <f>IF(A302&gt;$B$6*12,"",B302*$B$5/12)</f>
        <v/>
      </c>
      <c r="E302" s="20">
        <f>IF(A302&gt;$B$6*12,"",C302-D302)</f>
        <v/>
      </c>
      <c r="F302" s="20">
        <f>IF(A302&gt;$B$6*12,"",B302-E302)</f>
        <v/>
      </c>
    </row>
    <row r="303">
      <c r="A303" s="2" t="n">
        <v>293</v>
      </c>
      <c r="B303" s="20">
        <f>IF(A303&gt;$B$6*12,"",F302)</f>
        <v/>
      </c>
      <c r="C303" s="20">
        <f>IF(A303&gt;$B$6*12,"",$B$7)</f>
        <v/>
      </c>
      <c r="D303" s="20">
        <f>IF(A303&gt;$B$6*12,"",B303*$B$5/12)</f>
        <v/>
      </c>
      <c r="E303" s="20">
        <f>IF(A303&gt;$B$6*12,"",C303-D303)</f>
        <v/>
      </c>
      <c r="F303" s="20">
        <f>IF(A303&gt;$B$6*12,"",B303-E303)</f>
        <v/>
      </c>
    </row>
    <row r="304">
      <c r="A304" s="2" t="n">
        <v>294</v>
      </c>
      <c r="B304" s="20">
        <f>IF(A304&gt;$B$6*12,"",F303)</f>
        <v/>
      </c>
      <c r="C304" s="20">
        <f>IF(A304&gt;$B$6*12,"",$B$7)</f>
        <v/>
      </c>
      <c r="D304" s="20">
        <f>IF(A304&gt;$B$6*12,"",B304*$B$5/12)</f>
        <v/>
      </c>
      <c r="E304" s="20">
        <f>IF(A304&gt;$B$6*12,"",C304-D304)</f>
        <v/>
      </c>
      <c r="F304" s="20">
        <f>IF(A304&gt;$B$6*12,"",B304-E304)</f>
        <v/>
      </c>
    </row>
    <row r="305">
      <c r="A305" s="2" t="n">
        <v>295</v>
      </c>
      <c r="B305" s="20">
        <f>IF(A305&gt;$B$6*12,"",F304)</f>
        <v/>
      </c>
      <c r="C305" s="20">
        <f>IF(A305&gt;$B$6*12,"",$B$7)</f>
        <v/>
      </c>
      <c r="D305" s="20">
        <f>IF(A305&gt;$B$6*12,"",B305*$B$5/12)</f>
        <v/>
      </c>
      <c r="E305" s="20">
        <f>IF(A305&gt;$B$6*12,"",C305-D305)</f>
        <v/>
      </c>
      <c r="F305" s="20">
        <f>IF(A305&gt;$B$6*12,"",B305-E305)</f>
        <v/>
      </c>
    </row>
    <row r="306">
      <c r="A306" s="2" t="n">
        <v>296</v>
      </c>
      <c r="B306" s="20">
        <f>IF(A306&gt;$B$6*12,"",F305)</f>
        <v/>
      </c>
      <c r="C306" s="20">
        <f>IF(A306&gt;$B$6*12,"",$B$7)</f>
        <v/>
      </c>
      <c r="D306" s="20">
        <f>IF(A306&gt;$B$6*12,"",B306*$B$5/12)</f>
        <v/>
      </c>
      <c r="E306" s="20">
        <f>IF(A306&gt;$B$6*12,"",C306-D306)</f>
        <v/>
      </c>
      <c r="F306" s="20">
        <f>IF(A306&gt;$B$6*12,"",B306-E306)</f>
        <v/>
      </c>
    </row>
    <row r="307">
      <c r="A307" s="2" t="n">
        <v>297</v>
      </c>
      <c r="B307" s="20">
        <f>IF(A307&gt;$B$6*12,"",F306)</f>
        <v/>
      </c>
      <c r="C307" s="20">
        <f>IF(A307&gt;$B$6*12,"",$B$7)</f>
        <v/>
      </c>
      <c r="D307" s="20">
        <f>IF(A307&gt;$B$6*12,"",B307*$B$5/12)</f>
        <v/>
      </c>
      <c r="E307" s="20">
        <f>IF(A307&gt;$B$6*12,"",C307-D307)</f>
        <v/>
      </c>
      <c r="F307" s="20">
        <f>IF(A307&gt;$B$6*12,"",B307-E307)</f>
        <v/>
      </c>
    </row>
    <row r="308">
      <c r="A308" s="2" t="n">
        <v>298</v>
      </c>
      <c r="B308" s="20">
        <f>IF(A308&gt;$B$6*12,"",F307)</f>
        <v/>
      </c>
      <c r="C308" s="20">
        <f>IF(A308&gt;$B$6*12,"",$B$7)</f>
        <v/>
      </c>
      <c r="D308" s="20">
        <f>IF(A308&gt;$B$6*12,"",B308*$B$5/12)</f>
        <v/>
      </c>
      <c r="E308" s="20">
        <f>IF(A308&gt;$B$6*12,"",C308-D308)</f>
        <v/>
      </c>
      <c r="F308" s="20">
        <f>IF(A308&gt;$B$6*12,"",B308-E308)</f>
        <v/>
      </c>
    </row>
    <row r="309">
      <c r="A309" s="2" t="n">
        <v>299</v>
      </c>
      <c r="B309" s="20">
        <f>IF(A309&gt;$B$6*12,"",F308)</f>
        <v/>
      </c>
      <c r="C309" s="20">
        <f>IF(A309&gt;$B$6*12,"",$B$7)</f>
        <v/>
      </c>
      <c r="D309" s="20">
        <f>IF(A309&gt;$B$6*12,"",B309*$B$5/12)</f>
        <v/>
      </c>
      <c r="E309" s="20">
        <f>IF(A309&gt;$B$6*12,"",C309-D309)</f>
        <v/>
      </c>
      <c r="F309" s="20">
        <f>IF(A309&gt;$B$6*12,"",B309-E309)</f>
        <v/>
      </c>
    </row>
    <row r="310">
      <c r="A310" s="2" t="n">
        <v>300</v>
      </c>
      <c r="B310" s="20">
        <f>IF(A310&gt;$B$6*12,"",F309)</f>
        <v/>
      </c>
      <c r="C310" s="20">
        <f>IF(A310&gt;$B$6*12,"",$B$7)</f>
        <v/>
      </c>
      <c r="D310" s="20">
        <f>IF(A310&gt;$B$6*12,"",B310*$B$5/12)</f>
        <v/>
      </c>
      <c r="E310" s="20">
        <f>IF(A310&gt;$B$6*12,"",C310-D310)</f>
        <v/>
      </c>
      <c r="F310" s="20">
        <f>IF(A310&gt;$B$6*12,"",B310-E310)</f>
        <v/>
      </c>
    </row>
    <row r="311">
      <c r="A311" s="2" t="n">
        <v>301</v>
      </c>
      <c r="B311" s="20">
        <f>IF(A311&gt;$B$6*12,"",F310)</f>
        <v/>
      </c>
      <c r="C311" s="20">
        <f>IF(A311&gt;$B$6*12,"",$B$7)</f>
        <v/>
      </c>
      <c r="D311" s="20">
        <f>IF(A311&gt;$B$6*12,"",B311*$B$5/12)</f>
        <v/>
      </c>
      <c r="E311" s="20">
        <f>IF(A311&gt;$B$6*12,"",C311-D311)</f>
        <v/>
      </c>
      <c r="F311" s="20">
        <f>IF(A311&gt;$B$6*12,"",B311-E311)</f>
        <v/>
      </c>
    </row>
    <row r="312">
      <c r="A312" s="2" t="n">
        <v>302</v>
      </c>
      <c r="B312" s="20">
        <f>IF(A312&gt;$B$6*12,"",F311)</f>
        <v/>
      </c>
      <c r="C312" s="20">
        <f>IF(A312&gt;$B$6*12,"",$B$7)</f>
        <v/>
      </c>
      <c r="D312" s="20">
        <f>IF(A312&gt;$B$6*12,"",B312*$B$5/12)</f>
        <v/>
      </c>
      <c r="E312" s="20">
        <f>IF(A312&gt;$B$6*12,"",C312-D312)</f>
        <v/>
      </c>
      <c r="F312" s="20">
        <f>IF(A312&gt;$B$6*12,"",B312-E312)</f>
        <v/>
      </c>
    </row>
    <row r="313">
      <c r="A313" s="2" t="n">
        <v>303</v>
      </c>
      <c r="B313" s="20">
        <f>IF(A313&gt;$B$6*12,"",F312)</f>
        <v/>
      </c>
      <c r="C313" s="20">
        <f>IF(A313&gt;$B$6*12,"",$B$7)</f>
        <v/>
      </c>
      <c r="D313" s="20">
        <f>IF(A313&gt;$B$6*12,"",B313*$B$5/12)</f>
        <v/>
      </c>
      <c r="E313" s="20">
        <f>IF(A313&gt;$B$6*12,"",C313-D313)</f>
        <v/>
      </c>
      <c r="F313" s="20">
        <f>IF(A313&gt;$B$6*12,"",B313-E313)</f>
        <v/>
      </c>
    </row>
    <row r="314">
      <c r="A314" s="2" t="n">
        <v>304</v>
      </c>
      <c r="B314" s="20">
        <f>IF(A314&gt;$B$6*12,"",F313)</f>
        <v/>
      </c>
      <c r="C314" s="20">
        <f>IF(A314&gt;$B$6*12,"",$B$7)</f>
        <v/>
      </c>
      <c r="D314" s="20">
        <f>IF(A314&gt;$B$6*12,"",B314*$B$5/12)</f>
        <v/>
      </c>
      <c r="E314" s="20">
        <f>IF(A314&gt;$B$6*12,"",C314-D314)</f>
        <v/>
      </c>
      <c r="F314" s="20">
        <f>IF(A314&gt;$B$6*12,"",B314-E314)</f>
        <v/>
      </c>
    </row>
    <row r="315">
      <c r="A315" s="2" t="n">
        <v>305</v>
      </c>
      <c r="B315" s="20">
        <f>IF(A315&gt;$B$6*12,"",F314)</f>
        <v/>
      </c>
      <c r="C315" s="20">
        <f>IF(A315&gt;$B$6*12,"",$B$7)</f>
        <v/>
      </c>
      <c r="D315" s="20">
        <f>IF(A315&gt;$B$6*12,"",B315*$B$5/12)</f>
        <v/>
      </c>
      <c r="E315" s="20">
        <f>IF(A315&gt;$B$6*12,"",C315-D315)</f>
        <v/>
      </c>
      <c r="F315" s="20">
        <f>IF(A315&gt;$B$6*12,"",B315-E315)</f>
        <v/>
      </c>
    </row>
    <row r="316">
      <c r="A316" s="2" t="n">
        <v>306</v>
      </c>
      <c r="B316" s="20">
        <f>IF(A316&gt;$B$6*12,"",F315)</f>
        <v/>
      </c>
      <c r="C316" s="20">
        <f>IF(A316&gt;$B$6*12,"",$B$7)</f>
        <v/>
      </c>
      <c r="D316" s="20">
        <f>IF(A316&gt;$B$6*12,"",B316*$B$5/12)</f>
        <v/>
      </c>
      <c r="E316" s="20">
        <f>IF(A316&gt;$B$6*12,"",C316-D316)</f>
        <v/>
      </c>
      <c r="F316" s="20">
        <f>IF(A316&gt;$B$6*12,"",B316-E316)</f>
        <v/>
      </c>
    </row>
    <row r="317">
      <c r="A317" s="2" t="n">
        <v>307</v>
      </c>
      <c r="B317" s="20">
        <f>IF(A317&gt;$B$6*12,"",F316)</f>
        <v/>
      </c>
      <c r="C317" s="20">
        <f>IF(A317&gt;$B$6*12,"",$B$7)</f>
        <v/>
      </c>
      <c r="D317" s="20">
        <f>IF(A317&gt;$B$6*12,"",B317*$B$5/12)</f>
        <v/>
      </c>
      <c r="E317" s="20">
        <f>IF(A317&gt;$B$6*12,"",C317-D317)</f>
        <v/>
      </c>
      <c r="F317" s="20">
        <f>IF(A317&gt;$B$6*12,"",B317-E317)</f>
        <v/>
      </c>
    </row>
    <row r="318">
      <c r="A318" s="2" t="n">
        <v>308</v>
      </c>
      <c r="B318" s="20">
        <f>IF(A318&gt;$B$6*12,"",F317)</f>
        <v/>
      </c>
      <c r="C318" s="20">
        <f>IF(A318&gt;$B$6*12,"",$B$7)</f>
        <v/>
      </c>
      <c r="D318" s="20">
        <f>IF(A318&gt;$B$6*12,"",B318*$B$5/12)</f>
        <v/>
      </c>
      <c r="E318" s="20">
        <f>IF(A318&gt;$B$6*12,"",C318-D318)</f>
        <v/>
      </c>
      <c r="F318" s="20">
        <f>IF(A318&gt;$B$6*12,"",B318-E318)</f>
        <v/>
      </c>
    </row>
    <row r="319">
      <c r="A319" s="2" t="n">
        <v>309</v>
      </c>
      <c r="B319" s="20">
        <f>IF(A319&gt;$B$6*12,"",F318)</f>
        <v/>
      </c>
      <c r="C319" s="20">
        <f>IF(A319&gt;$B$6*12,"",$B$7)</f>
        <v/>
      </c>
      <c r="D319" s="20">
        <f>IF(A319&gt;$B$6*12,"",B319*$B$5/12)</f>
        <v/>
      </c>
      <c r="E319" s="20">
        <f>IF(A319&gt;$B$6*12,"",C319-D319)</f>
        <v/>
      </c>
      <c r="F319" s="20">
        <f>IF(A319&gt;$B$6*12,"",B319-E319)</f>
        <v/>
      </c>
    </row>
    <row r="320">
      <c r="A320" s="2" t="n">
        <v>310</v>
      </c>
      <c r="B320" s="20">
        <f>IF(A320&gt;$B$6*12,"",F319)</f>
        <v/>
      </c>
      <c r="C320" s="20">
        <f>IF(A320&gt;$B$6*12,"",$B$7)</f>
        <v/>
      </c>
      <c r="D320" s="20">
        <f>IF(A320&gt;$B$6*12,"",B320*$B$5/12)</f>
        <v/>
      </c>
      <c r="E320" s="20">
        <f>IF(A320&gt;$B$6*12,"",C320-D320)</f>
        <v/>
      </c>
      <c r="F320" s="20">
        <f>IF(A320&gt;$B$6*12,"",B320-E320)</f>
        <v/>
      </c>
    </row>
    <row r="321">
      <c r="A321" s="2" t="n">
        <v>311</v>
      </c>
      <c r="B321" s="20">
        <f>IF(A321&gt;$B$6*12,"",F320)</f>
        <v/>
      </c>
      <c r="C321" s="20">
        <f>IF(A321&gt;$B$6*12,"",$B$7)</f>
        <v/>
      </c>
      <c r="D321" s="20">
        <f>IF(A321&gt;$B$6*12,"",B321*$B$5/12)</f>
        <v/>
      </c>
      <c r="E321" s="20">
        <f>IF(A321&gt;$B$6*12,"",C321-D321)</f>
        <v/>
      </c>
      <c r="F321" s="20">
        <f>IF(A321&gt;$B$6*12,"",B321-E321)</f>
        <v/>
      </c>
    </row>
    <row r="322">
      <c r="A322" s="2" t="n">
        <v>312</v>
      </c>
      <c r="B322" s="20">
        <f>IF(A322&gt;$B$6*12,"",F321)</f>
        <v/>
      </c>
      <c r="C322" s="20">
        <f>IF(A322&gt;$B$6*12,"",$B$7)</f>
        <v/>
      </c>
      <c r="D322" s="20">
        <f>IF(A322&gt;$B$6*12,"",B322*$B$5/12)</f>
        <v/>
      </c>
      <c r="E322" s="20">
        <f>IF(A322&gt;$B$6*12,"",C322-D322)</f>
        <v/>
      </c>
      <c r="F322" s="20">
        <f>IF(A322&gt;$B$6*12,"",B322-E322)</f>
        <v/>
      </c>
    </row>
    <row r="323">
      <c r="A323" s="2" t="n">
        <v>313</v>
      </c>
      <c r="B323" s="20">
        <f>IF(A323&gt;$B$6*12,"",F322)</f>
        <v/>
      </c>
      <c r="C323" s="20">
        <f>IF(A323&gt;$B$6*12,"",$B$7)</f>
        <v/>
      </c>
      <c r="D323" s="20">
        <f>IF(A323&gt;$B$6*12,"",B323*$B$5/12)</f>
        <v/>
      </c>
      <c r="E323" s="20">
        <f>IF(A323&gt;$B$6*12,"",C323-D323)</f>
        <v/>
      </c>
      <c r="F323" s="20">
        <f>IF(A323&gt;$B$6*12,"",B323-E323)</f>
        <v/>
      </c>
    </row>
    <row r="324">
      <c r="A324" s="2" t="n">
        <v>314</v>
      </c>
      <c r="B324" s="20">
        <f>IF(A324&gt;$B$6*12,"",F323)</f>
        <v/>
      </c>
      <c r="C324" s="20">
        <f>IF(A324&gt;$B$6*12,"",$B$7)</f>
        <v/>
      </c>
      <c r="D324" s="20">
        <f>IF(A324&gt;$B$6*12,"",B324*$B$5/12)</f>
        <v/>
      </c>
      <c r="E324" s="20">
        <f>IF(A324&gt;$B$6*12,"",C324-D324)</f>
        <v/>
      </c>
      <c r="F324" s="20">
        <f>IF(A324&gt;$B$6*12,"",B324-E324)</f>
        <v/>
      </c>
    </row>
    <row r="325">
      <c r="A325" s="2" t="n">
        <v>315</v>
      </c>
      <c r="B325" s="20">
        <f>IF(A325&gt;$B$6*12,"",F324)</f>
        <v/>
      </c>
      <c r="C325" s="20">
        <f>IF(A325&gt;$B$6*12,"",$B$7)</f>
        <v/>
      </c>
      <c r="D325" s="20">
        <f>IF(A325&gt;$B$6*12,"",B325*$B$5/12)</f>
        <v/>
      </c>
      <c r="E325" s="20">
        <f>IF(A325&gt;$B$6*12,"",C325-D325)</f>
        <v/>
      </c>
      <c r="F325" s="20">
        <f>IF(A325&gt;$B$6*12,"",B325-E325)</f>
        <v/>
      </c>
    </row>
    <row r="326">
      <c r="A326" s="2" t="n">
        <v>316</v>
      </c>
      <c r="B326" s="20">
        <f>IF(A326&gt;$B$6*12,"",F325)</f>
        <v/>
      </c>
      <c r="C326" s="20">
        <f>IF(A326&gt;$B$6*12,"",$B$7)</f>
        <v/>
      </c>
      <c r="D326" s="20">
        <f>IF(A326&gt;$B$6*12,"",B326*$B$5/12)</f>
        <v/>
      </c>
      <c r="E326" s="20">
        <f>IF(A326&gt;$B$6*12,"",C326-D326)</f>
        <v/>
      </c>
      <c r="F326" s="20">
        <f>IF(A326&gt;$B$6*12,"",B326-E326)</f>
        <v/>
      </c>
    </row>
    <row r="327">
      <c r="A327" s="2" t="n">
        <v>317</v>
      </c>
      <c r="B327" s="20">
        <f>IF(A327&gt;$B$6*12,"",F326)</f>
        <v/>
      </c>
      <c r="C327" s="20">
        <f>IF(A327&gt;$B$6*12,"",$B$7)</f>
        <v/>
      </c>
      <c r="D327" s="20">
        <f>IF(A327&gt;$B$6*12,"",B327*$B$5/12)</f>
        <v/>
      </c>
      <c r="E327" s="20">
        <f>IF(A327&gt;$B$6*12,"",C327-D327)</f>
        <v/>
      </c>
      <c r="F327" s="20">
        <f>IF(A327&gt;$B$6*12,"",B327-E327)</f>
        <v/>
      </c>
    </row>
    <row r="328">
      <c r="A328" s="2" t="n">
        <v>318</v>
      </c>
      <c r="B328" s="20">
        <f>IF(A328&gt;$B$6*12,"",F327)</f>
        <v/>
      </c>
      <c r="C328" s="20">
        <f>IF(A328&gt;$B$6*12,"",$B$7)</f>
        <v/>
      </c>
      <c r="D328" s="20">
        <f>IF(A328&gt;$B$6*12,"",B328*$B$5/12)</f>
        <v/>
      </c>
      <c r="E328" s="20">
        <f>IF(A328&gt;$B$6*12,"",C328-D328)</f>
        <v/>
      </c>
      <c r="F328" s="20">
        <f>IF(A328&gt;$B$6*12,"",B328-E328)</f>
        <v/>
      </c>
    </row>
    <row r="329">
      <c r="A329" s="2" t="n">
        <v>319</v>
      </c>
      <c r="B329" s="20">
        <f>IF(A329&gt;$B$6*12,"",F328)</f>
        <v/>
      </c>
      <c r="C329" s="20">
        <f>IF(A329&gt;$B$6*12,"",$B$7)</f>
        <v/>
      </c>
      <c r="D329" s="20">
        <f>IF(A329&gt;$B$6*12,"",B329*$B$5/12)</f>
        <v/>
      </c>
      <c r="E329" s="20">
        <f>IF(A329&gt;$B$6*12,"",C329-D329)</f>
        <v/>
      </c>
      <c r="F329" s="20">
        <f>IF(A329&gt;$B$6*12,"",B329-E329)</f>
        <v/>
      </c>
    </row>
    <row r="330">
      <c r="A330" s="2" t="n">
        <v>320</v>
      </c>
      <c r="B330" s="20">
        <f>IF(A330&gt;$B$6*12,"",F329)</f>
        <v/>
      </c>
      <c r="C330" s="20">
        <f>IF(A330&gt;$B$6*12,"",$B$7)</f>
        <v/>
      </c>
      <c r="D330" s="20">
        <f>IF(A330&gt;$B$6*12,"",B330*$B$5/12)</f>
        <v/>
      </c>
      <c r="E330" s="20">
        <f>IF(A330&gt;$B$6*12,"",C330-D330)</f>
        <v/>
      </c>
      <c r="F330" s="20">
        <f>IF(A330&gt;$B$6*12,"",B330-E330)</f>
        <v/>
      </c>
    </row>
    <row r="331">
      <c r="A331" s="2" t="n">
        <v>321</v>
      </c>
      <c r="B331" s="20">
        <f>IF(A331&gt;$B$6*12,"",F330)</f>
        <v/>
      </c>
      <c r="C331" s="20">
        <f>IF(A331&gt;$B$6*12,"",$B$7)</f>
        <v/>
      </c>
      <c r="D331" s="20">
        <f>IF(A331&gt;$B$6*12,"",B331*$B$5/12)</f>
        <v/>
      </c>
      <c r="E331" s="20">
        <f>IF(A331&gt;$B$6*12,"",C331-D331)</f>
        <v/>
      </c>
      <c r="F331" s="20">
        <f>IF(A331&gt;$B$6*12,"",B331-E331)</f>
        <v/>
      </c>
    </row>
    <row r="332">
      <c r="A332" s="2" t="n">
        <v>322</v>
      </c>
      <c r="B332" s="20">
        <f>IF(A332&gt;$B$6*12,"",F331)</f>
        <v/>
      </c>
      <c r="C332" s="20">
        <f>IF(A332&gt;$B$6*12,"",$B$7)</f>
        <v/>
      </c>
      <c r="D332" s="20">
        <f>IF(A332&gt;$B$6*12,"",B332*$B$5/12)</f>
        <v/>
      </c>
      <c r="E332" s="20">
        <f>IF(A332&gt;$B$6*12,"",C332-D332)</f>
        <v/>
      </c>
      <c r="F332" s="20">
        <f>IF(A332&gt;$B$6*12,"",B332-E332)</f>
        <v/>
      </c>
    </row>
    <row r="333">
      <c r="A333" s="2" t="n">
        <v>323</v>
      </c>
      <c r="B333" s="20">
        <f>IF(A333&gt;$B$6*12,"",F332)</f>
        <v/>
      </c>
      <c r="C333" s="20">
        <f>IF(A333&gt;$B$6*12,"",$B$7)</f>
        <v/>
      </c>
      <c r="D333" s="20">
        <f>IF(A333&gt;$B$6*12,"",B333*$B$5/12)</f>
        <v/>
      </c>
      <c r="E333" s="20">
        <f>IF(A333&gt;$B$6*12,"",C333-D333)</f>
        <v/>
      </c>
      <c r="F333" s="20">
        <f>IF(A333&gt;$B$6*12,"",B333-E333)</f>
        <v/>
      </c>
    </row>
    <row r="334">
      <c r="A334" s="2" t="n">
        <v>324</v>
      </c>
      <c r="B334" s="20">
        <f>IF(A334&gt;$B$6*12,"",F333)</f>
        <v/>
      </c>
      <c r="C334" s="20">
        <f>IF(A334&gt;$B$6*12,"",$B$7)</f>
        <v/>
      </c>
      <c r="D334" s="20">
        <f>IF(A334&gt;$B$6*12,"",B334*$B$5/12)</f>
        <v/>
      </c>
      <c r="E334" s="20">
        <f>IF(A334&gt;$B$6*12,"",C334-D334)</f>
        <v/>
      </c>
      <c r="F334" s="20">
        <f>IF(A334&gt;$B$6*12,"",B334-E334)</f>
        <v/>
      </c>
    </row>
    <row r="335">
      <c r="A335" s="2" t="n">
        <v>325</v>
      </c>
      <c r="B335" s="20">
        <f>IF(A335&gt;$B$6*12,"",F334)</f>
        <v/>
      </c>
      <c r="C335" s="20">
        <f>IF(A335&gt;$B$6*12,"",$B$7)</f>
        <v/>
      </c>
      <c r="D335" s="20">
        <f>IF(A335&gt;$B$6*12,"",B335*$B$5/12)</f>
        <v/>
      </c>
      <c r="E335" s="20">
        <f>IF(A335&gt;$B$6*12,"",C335-D335)</f>
        <v/>
      </c>
      <c r="F335" s="20">
        <f>IF(A335&gt;$B$6*12,"",B335-E335)</f>
        <v/>
      </c>
    </row>
    <row r="336">
      <c r="A336" s="2" t="n">
        <v>326</v>
      </c>
      <c r="B336" s="20">
        <f>IF(A336&gt;$B$6*12,"",F335)</f>
        <v/>
      </c>
      <c r="C336" s="20">
        <f>IF(A336&gt;$B$6*12,"",$B$7)</f>
        <v/>
      </c>
      <c r="D336" s="20">
        <f>IF(A336&gt;$B$6*12,"",B336*$B$5/12)</f>
        <v/>
      </c>
      <c r="E336" s="20">
        <f>IF(A336&gt;$B$6*12,"",C336-D336)</f>
        <v/>
      </c>
      <c r="F336" s="20">
        <f>IF(A336&gt;$B$6*12,"",B336-E336)</f>
        <v/>
      </c>
    </row>
    <row r="337">
      <c r="A337" s="2" t="n">
        <v>327</v>
      </c>
      <c r="B337" s="20">
        <f>IF(A337&gt;$B$6*12,"",F336)</f>
        <v/>
      </c>
      <c r="C337" s="20">
        <f>IF(A337&gt;$B$6*12,"",$B$7)</f>
        <v/>
      </c>
      <c r="D337" s="20">
        <f>IF(A337&gt;$B$6*12,"",B337*$B$5/12)</f>
        <v/>
      </c>
      <c r="E337" s="20">
        <f>IF(A337&gt;$B$6*12,"",C337-D337)</f>
        <v/>
      </c>
      <c r="F337" s="20">
        <f>IF(A337&gt;$B$6*12,"",B337-E337)</f>
        <v/>
      </c>
    </row>
    <row r="338">
      <c r="A338" s="2" t="n">
        <v>328</v>
      </c>
      <c r="B338" s="20">
        <f>IF(A338&gt;$B$6*12,"",F337)</f>
        <v/>
      </c>
      <c r="C338" s="20">
        <f>IF(A338&gt;$B$6*12,"",$B$7)</f>
        <v/>
      </c>
      <c r="D338" s="20">
        <f>IF(A338&gt;$B$6*12,"",B338*$B$5/12)</f>
        <v/>
      </c>
      <c r="E338" s="20">
        <f>IF(A338&gt;$B$6*12,"",C338-D338)</f>
        <v/>
      </c>
      <c r="F338" s="20">
        <f>IF(A338&gt;$B$6*12,"",B338-E338)</f>
        <v/>
      </c>
    </row>
    <row r="339">
      <c r="A339" s="2" t="n">
        <v>329</v>
      </c>
      <c r="B339" s="20">
        <f>IF(A339&gt;$B$6*12,"",F338)</f>
        <v/>
      </c>
      <c r="C339" s="20">
        <f>IF(A339&gt;$B$6*12,"",$B$7)</f>
        <v/>
      </c>
      <c r="D339" s="20">
        <f>IF(A339&gt;$B$6*12,"",B339*$B$5/12)</f>
        <v/>
      </c>
      <c r="E339" s="20">
        <f>IF(A339&gt;$B$6*12,"",C339-D339)</f>
        <v/>
      </c>
      <c r="F339" s="20">
        <f>IF(A339&gt;$B$6*12,"",B339-E339)</f>
        <v/>
      </c>
    </row>
    <row r="340">
      <c r="A340" s="2" t="n">
        <v>330</v>
      </c>
      <c r="B340" s="20">
        <f>IF(A340&gt;$B$6*12,"",F339)</f>
        <v/>
      </c>
      <c r="C340" s="20">
        <f>IF(A340&gt;$B$6*12,"",$B$7)</f>
        <v/>
      </c>
      <c r="D340" s="20">
        <f>IF(A340&gt;$B$6*12,"",B340*$B$5/12)</f>
        <v/>
      </c>
      <c r="E340" s="20">
        <f>IF(A340&gt;$B$6*12,"",C340-D340)</f>
        <v/>
      </c>
      <c r="F340" s="20">
        <f>IF(A340&gt;$B$6*12,"",B340-E340)</f>
        <v/>
      </c>
    </row>
    <row r="341">
      <c r="A341" s="2" t="n">
        <v>331</v>
      </c>
      <c r="B341" s="20">
        <f>IF(A341&gt;$B$6*12,"",F340)</f>
        <v/>
      </c>
      <c r="C341" s="20">
        <f>IF(A341&gt;$B$6*12,"",$B$7)</f>
        <v/>
      </c>
      <c r="D341" s="20">
        <f>IF(A341&gt;$B$6*12,"",B341*$B$5/12)</f>
        <v/>
      </c>
      <c r="E341" s="20">
        <f>IF(A341&gt;$B$6*12,"",C341-D341)</f>
        <v/>
      </c>
      <c r="F341" s="20">
        <f>IF(A341&gt;$B$6*12,"",B341-E341)</f>
        <v/>
      </c>
    </row>
    <row r="342">
      <c r="A342" s="2" t="n">
        <v>332</v>
      </c>
      <c r="B342" s="20">
        <f>IF(A342&gt;$B$6*12,"",F341)</f>
        <v/>
      </c>
      <c r="C342" s="20">
        <f>IF(A342&gt;$B$6*12,"",$B$7)</f>
        <v/>
      </c>
      <c r="D342" s="20">
        <f>IF(A342&gt;$B$6*12,"",B342*$B$5/12)</f>
        <v/>
      </c>
      <c r="E342" s="20">
        <f>IF(A342&gt;$B$6*12,"",C342-D342)</f>
        <v/>
      </c>
      <c r="F342" s="20">
        <f>IF(A342&gt;$B$6*12,"",B342-E342)</f>
        <v/>
      </c>
    </row>
    <row r="343">
      <c r="A343" s="2" t="n">
        <v>333</v>
      </c>
      <c r="B343" s="20">
        <f>IF(A343&gt;$B$6*12,"",F342)</f>
        <v/>
      </c>
      <c r="C343" s="20">
        <f>IF(A343&gt;$B$6*12,"",$B$7)</f>
        <v/>
      </c>
      <c r="D343" s="20">
        <f>IF(A343&gt;$B$6*12,"",B343*$B$5/12)</f>
        <v/>
      </c>
      <c r="E343" s="20">
        <f>IF(A343&gt;$B$6*12,"",C343-D343)</f>
        <v/>
      </c>
      <c r="F343" s="20">
        <f>IF(A343&gt;$B$6*12,"",B343-E343)</f>
        <v/>
      </c>
    </row>
    <row r="344">
      <c r="A344" s="2" t="n">
        <v>334</v>
      </c>
      <c r="B344" s="20">
        <f>IF(A344&gt;$B$6*12,"",F343)</f>
        <v/>
      </c>
      <c r="C344" s="20">
        <f>IF(A344&gt;$B$6*12,"",$B$7)</f>
        <v/>
      </c>
      <c r="D344" s="20">
        <f>IF(A344&gt;$B$6*12,"",B344*$B$5/12)</f>
        <v/>
      </c>
      <c r="E344" s="20">
        <f>IF(A344&gt;$B$6*12,"",C344-D344)</f>
        <v/>
      </c>
      <c r="F344" s="20">
        <f>IF(A344&gt;$B$6*12,"",B344-E344)</f>
        <v/>
      </c>
    </row>
    <row r="345">
      <c r="A345" s="2" t="n">
        <v>335</v>
      </c>
      <c r="B345" s="20">
        <f>IF(A345&gt;$B$6*12,"",F344)</f>
        <v/>
      </c>
      <c r="C345" s="20">
        <f>IF(A345&gt;$B$6*12,"",$B$7)</f>
        <v/>
      </c>
      <c r="D345" s="20">
        <f>IF(A345&gt;$B$6*12,"",B345*$B$5/12)</f>
        <v/>
      </c>
      <c r="E345" s="20">
        <f>IF(A345&gt;$B$6*12,"",C345-D345)</f>
        <v/>
      </c>
      <c r="F345" s="20">
        <f>IF(A345&gt;$B$6*12,"",B345-E345)</f>
        <v/>
      </c>
    </row>
    <row r="346">
      <c r="A346" s="2" t="n">
        <v>336</v>
      </c>
      <c r="B346" s="20">
        <f>IF(A346&gt;$B$6*12,"",F345)</f>
        <v/>
      </c>
      <c r="C346" s="20">
        <f>IF(A346&gt;$B$6*12,"",$B$7)</f>
        <v/>
      </c>
      <c r="D346" s="20">
        <f>IF(A346&gt;$B$6*12,"",B346*$B$5/12)</f>
        <v/>
      </c>
      <c r="E346" s="20">
        <f>IF(A346&gt;$B$6*12,"",C346-D346)</f>
        <v/>
      </c>
      <c r="F346" s="20">
        <f>IF(A346&gt;$B$6*12,"",B346-E346)</f>
        <v/>
      </c>
    </row>
    <row r="347">
      <c r="A347" s="2" t="n">
        <v>337</v>
      </c>
      <c r="B347" s="20">
        <f>IF(A347&gt;$B$6*12,"",F346)</f>
        <v/>
      </c>
      <c r="C347" s="20">
        <f>IF(A347&gt;$B$6*12,"",$B$7)</f>
        <v/>
      </c>
      <c r="D347" s="20">
        <f>IF(A347&gt;$B$6*12,"",B347*$B$5/12)</f>
        <v/>
      </c>
      <c r="E347" s="20">
        <f>IF(A347&gt;$B$6*12,"",C347-D347)</f>
        <v/>
      </c>
      <c r="F347" s="20">
        <f>IF(A347&gt;$B$6*12,"",B347-E347)</f>
        <v/>
      </c>
    </row>
    <row r="348">
      <c r="A348" s="2" t="n">
        <v>338</v>
      </c>
      <c r="B348" s="20">
        <f>IF(A348&gt;$B$6*12,"",F347)</f>
        <v/>
      </c>
      <c r="C348" s="20">
        <f>IF(A348&gt;$B$6*12,"",$B$7)</f>
        <v/>
      </c>
      <c r="D348" s="20">
        <f>IF(A348&gt;$B$6*12,"",B348*$B$5/12)</f>
        <v/>
      </c>
      <c r="E348" s="20">
        <f>IF(A348&gt;$B$6*12,"",C348-D348)</f>
        <v/>
      </c>
      <c r="F348" s="20">
        <f>IF(A348&gt;$B$6*12,"",B348-E348)</f>
        <v/>
      </c>
    </row>
    <row r="349">
      <c r="A349" s="2" t="n">
        <v>339</v>
      </c>
      <c r="B349" s="20">
        <f>IF(A349&gt;$B$6*12,"",F348)</f>
        <v/>
      </c>
      <c r="C349" s="20">
        <f>IF(A349&gt;$B$6*12,"",$B$7)</f>
        <v/>
      </c>
      <c r="D349" s="20">
        <f>IF(A349&gt;$B$6*12,"",B349*$B$5/12)</f>
        <v/>
      </c>
      <c r="E349" s="20">
        <f>IF(A349&gt;$B$6*12,"",C349-D349)</f>
        <v/>
      </c>
      <c r="F349" s="20">
        <f>IF(A349&gt;$B$6*12,"",B349-E349)</f>
        <v/>
      </c>
    </row>
    <row r="350">
      <c r="A350" s="2" t="n">
        <v>340</v>
      </c>
      <c r="B350" s="20">
        <f>IF(A350&gt;$B$6*12,"",F349)</f>
        <v/>
      </c>
      <c r="C350" s="20">
        <f>IF(A350&gt;$B$6*12,"",$B$7)</f>
        <v/>
      </c>
      <c r="D350" s="20">
        <f>IF(A350&gt;$B$6*12,"",B350*$B$5/12)</f>
        <v/>
      </c>
      <c r="E350" s="20">
        <f>IF(A350&gt;$B$6*12,"",C350-D350)</f>
        <v/>
      </c>
      <c r="F350" s="20">
        <f>IF(A350&gt;$B$6*12,"",B350-E350)</f>
        <v/>
      </c>
    </row>
    <row r="351">
      <c r="A351" s="2" t="n">
        <v>341</v>
      </c>
      <c r="B351" s="20">
        <f>IF(A351&gt;$B$6*12,"",F350)</f>
        <v/>
      </c>
      <c r="C351" s="20">
        <f>IF(A351&gt;$B$6*12,"",$B$7)</f>
        <v/>
      </c>
      <c r="D351" s="20">
        <f>IF(A351&gt;$B$6*12,"",B351*$B$5/12)</f>
        <v/>
      </c>
      <c r="E351" s="20">
        <f>IF(A351&gt;$B$6*12,"",C351-D351)</f>
        <v/>
      </c>
      <c r="F351" s="20">
        <f>IF(A351&gt;$B$6*12,"",B351-E351)</f>
        <v/>
      </c>
    </row>
    <row r="352">
      <c r="A352" s="2" t="n">
        <v>342</v>
      </c>
      <c r="B352" s="20">
        <f>IF(A352&gt;$B$6*12,"",F351)</f>
        <v/>
      </c>
      <c r="C352" s="20">
        <f>IF(A352&gt;$B$6*12,"",$B$7)</f>
        <v/>
      </c>
      <c r="D352" s="20">
        <f>IF(A352&gt;$B$6*12,"",B352*$B$5/12)</f>
        <v/>
      </c>
      <c r="E352" s="20">
        <f>IF(A352&gt;$B$6*12,"",C352-D352)</f>
        <v/>
      </c>
      <c r="F352" s="20">
        <f>IF(A352&gt;$B$6*12,"",B352-E352)</f>
        <v/>
      </c>
    </row>
    <row r="353">
      <c r="A353" s="2" t="n">
        <v>343</v>
      </c>
      <c r="B353" s="20">
        <f>IF(A353&gt;$B$6*12,"",F352)</f>
        <v/>
      </c>
      <c r="C353" s="20">
        <f>IF(A353&gt;$B$6*12,"",$B$7)</f>
        <v/>
      </c>
      <c r="D353" s="20">
        <f>IF(A353&gt;$B$6*12,"",B353*$B$5/12)</f>
        <v/>
      </c>
      <c r="E353" s="20">
        <f>IF(A353&gt;$B$6*12,"",C353-D353)</f>
        <v/>
      </c>
      <c r="F353" s="20">
        <f>IF(A353&gt;$B$6*12,"",B353-E353)</f>
        <v/>
      </c>
    </row>
    <row r="354">
      <c r="A354" s="2" t="n">
        <v>344</v>
      </c>
      <c r="B354" s="20">
        <f>IF(A354&gt;$B$6*12,"",F353)</f>
        <v/>
      </c>
      <c r="C354" s="20">
        <f>IF(A354&gt;$B$6*12,"",$B$7)</f>
        <v/>
      </c>
      <c r="D354" s="20">
        <f>IF(A354&gt;$B$6*12,"",B354*$B$5/12)</f>
        <v/>
      </c>
      <c r="E354" s="20">
        <f>IF(A354&gt;$B$6*12,"",C354-D354)</f>
        <v/>
      </c>
      <c r="F354" s="20">
        <f>IF(A354&gt;$B$6*12,"",B354-E354)</f>
        <v/>
      </c>
    </row>
    <row r="355">
      <c r="A355" s="2" t="n">
        <v>345</v>
      </c>
      <c r="B355" s="20">
        <f>IF(A355&gt;$B$6*12,"",F354)</f>
        <v/>
      </c>
      <c r="C355" s="20">
        <f>IF(A355&gt;$B$6*12,"",$B$7)</f>
        <v/>
      </c>
      <c r="D355" s="20">
        <f>IF(A355&gt;$B$6*12,"",B355*$B$5/12)</f>
        <v/>
      </c>
      <c r="E355" s="20">
        <f>IF(A355&gt;$B$6*12,"",C355-D355)</f>
        <v/>
      </c>
      <c r="F355" s="20">
        <f>IF(A355&gt;$B$6*12,"",B355-E355)</f>
        <v/>
      </c>
    </row>
    <row r="356">
      <c r="A356" s="2" t="n">
        <v>346</v>
      </c>
      <c r="B356" s="20">
        <f>IF(A356&gt;$B$6*12,"",F355)</f>
        <v/>
      </c>
      <c r="C356" s="20">
        <f>IF(A356&gt;$B$6*12,"",$B$7)</f>
        <v/>
      </c>
      <c r="D356" s="20">
        <f>IF(A356&gt;$B$6*12,"",B356*$B$5/12)</f>
        <v/>
      </c>
      <c r="E356" s="20">
        <f>IF(A356&gt;$B$6*12,"",C356-D356)</f>
        <v/>
      </c>
      <c r="F356" s="20">
        <f>IF(A356&gt;$B$6*12,"",B356-E356)</f>
        <v/>
      </c>
    </row>
    <row r="357">
      <c r="A357" s="2" t="n">
        <v>347</v>
      </c>
      <c r="B357" s="20">
        <f>IF(A357&gt;$B$6*12,"",F356)</f>
        <v/>
      </c>
      <c r="C357" s="20">
        <f>IF(A357&gt;$B$6*12,"",$B$7)</f>
        <v/>
      </c>
      <c r="D357" s="20">
        <f>IF(A357&gt;$B$6*12,"",B357*$B$5/12)</f>
        <v/>
      </c>
      <c r="E357" s="20">
        <f>IF(A357&gt;$B$6*12,"",C357-D357)</f>
        <v/>
      </c>
      <c r="F357" s="20">
        <f>IF(A357&gt;$B$6*12,"",B357-E357)</f>
        <v/>
      </c>
    </row>
    <row r="358">
      <c r="A358" s="2" t="n">
        <v>348</v>
      </c>
      <c r="B358" s="20">
        <f>IF(A358&gt;$B$6*12,"",F357)</f>
        <v/>
      </c>
      <c r="C358" s="20">
        <f>IF(A358&gt;$B$6*12,"",$B$7)</f>
        <v/>
      </c>
      <c r="D358" s="20">
        <f>IF(A358&gt;$B$6*12,"",B358*$B$5/12)</f>
        <v/>
      </c>
      <c r="E358" s="20">
        <f>IF(A358&gt;$B$6*12,"",C358-D358)</f>
        <v/>
      </c>
      <c r="F358" s="20">
        <f>IF(A358&gt;$B$6*12,"",B358-E358)</f>
        <v/>
      </c>
    </row>
    <row r="359">
      <c r="A359" s="2" t="n">
        <v>349</v>
      </c>
      <c r="B359" s="20">
        <f>IF(A359&gt;$B$6*12,"",F358)</f>
        <v/>
      </c>
      <c r="C359" s="20">
        <f>IF(A359&gt;$B$6*12,"",$B$7)</f>
        <v/>
      </c>
      <c r="D359" s="20">
        <f>IF(A359&gt;$B$6*12,"",B359*$B$5/12)</f>
        <v/>
      </c>
      <c r="E359" s="20">
        <f>IF(A359&gt;$B$6*12,"",C359-D359)</f>
        <v/>
      </c>
      <c r="F359" s="20">
        <f>IF(A359&gt;$B$6*12,"",B359-E359)</f>
        <v/>
      </c>
    </row>
    <row r="360">
      <c r="A360" s="2" t="n">
        <v>350</v>
      </c>
      <c r="B360" s="20">
        <f>IF(A360&gt;$B$6*12,"",F359)</f>
        <v/>
      </c>
      <c r="C360" s="20">
        <f>IF(A360&gt;$B$6*12,"",$B$7)</f>
        <v/>
      </c>
      <c r="D360" s="20">
        <f>IF(A360&gt;$B$6*12,"",B360*$B$5/12)</f>
        <v/>
      </c>
      <c r="E360" s="20">
        <f>IF(A360&gt;$B$6*12,"",C360-D360)</f>
        <v/>
      </c>
      <c r="F360" s="20">
        <f>IF(A360&gt;$B$6*12,"",B360-E360)</f>
        <v/>
      </c>
    </row>
    <row r="361">
      <c r="A361" s="2" t="n">
        <v>351</v>
      </c>
      <c r="B361" s="20">
        <f>IF(A361&gt;$B$6*12,"",F360)</f>
        <v/>
      </c>
      <c r="C361" s="20">
        <f>IF(A361&gt;$B$6*12,"",$B$7)</f>
        <v/>
      </c>
      <c r="D361" s="20">
        <f>IF(A361&gt;$B$6*12,"",B361*$B$5/12)</f>
        <v/>
      </c>
      <c r="E361" s="20">
        <f>IF(A361&gt;$B$6*12,"",C361-D361)</f>
        <v/>
      </c>
      <c r="F361" s="20">
        <f>IF(A361&gt;$B$6*12,"",B361-E361)</f>
        <v/>
      </c>
    </row>
    <row r="362">
      <c r="A362" s="2" t="n">
        <v>352</v>
      </c>
      <c r="B362" s="20">
        <f>IF(A362&gt;$B$6*12,"",F361)</f>
        <v/>
      </c>
      <c r="C362" s="20">
        <f>IF(A362&gt;$B$6*12,"",$B$7)</f>
        <v/>
      </c>
      <c r="D362" s="20">
        <f>IF(A362&gt;$B$6*12,"",B362*$B$5/12)</f>
        <v/>
      </c>
      <c r="E362" s="20">
        <f>IF(A362&gt;$B$6*12,"",C362-D362)</f>
        <v/>
      </c>
      <c r="F362" s="20">
        <f>IF(A362&gt;$B$6*12,"",B362-E362)</f>
        <v/>
      </c>
    </row>
    <row r="363">
      <c r="A363" s="2" t="n">
        <v>353</v>
      </c>
      <c r="B363" s="20">
        <f>IF(A363&gt;$B$6*12,"",F362)</f>
        <v/>
      </c>
      <c r="C363" s="20">
        <f>IF(A363&gt;$B$6*12,"",$B$7)</f>
        <v/>
      </c>
      <c r="D363" s="20">
        <f>IF(A363&gt;$B$6*12,"",B363*$B$5/12)</f>
        <v/>
      </c>
      <c r="E363" s="20">
        <f>IF(A363&gt;$B$6*12,"",C363-D363)</f>
        <v/>
      </c>
      <c r="F363" s="20">
        <f>IF(A363&gt;$B$6*12,"",B363-E363)</f>
        <v/>
      </c>
    </row>
    <row r="364">
      <c r="A364" s="2" t="n">
        <v>354</v>
      </c>
      <c r="B364" s="20">
        <f>IF(A364&gt;$B$6*12,"",F363)</f>
        <v/>
      </c>
      <c r="C364" s="20">
        <f>IF(A364&gt;$B$6*12,"",$B$7)</f>
        <v/>
      </c>
      <c r="D364" s="20">
        <f>IF(A364&gt;$B$6*12,"",B364*$B$5/12)</f>
        <v/>
      </c>
      <c r="E364" s="20">
        <f>IF(A364&gt;$B$6*12,"",C364-D364)</f>
        <v/>
      </c>
      <c r="F364" s="20">
        <f>IF(A364&gt;$B$6*12,"",B364-E364)</f>
        <v/>
      </c>
    </row>
    <row r="365">
      <c r="A365" s="2" t="n">
        <v>355</v>
      </c>
      <c r="B365" s="20">
        <f>IF(A365&gt;$B$6*12,"",F364)</f>
        <v/>
      </c>
      <c r="C365" s="20">
        <f>IF(A365&gt;$B$6*12,"",$B$7)</f>
        <v/>
      </c>
      <c r="D365" s="20">
        <f>IF(A365&gt;$B$6*12,"",B365*$B$5/12)</f>
        <v/>
      </c>
      <c r="E365" s="20">
        <f>IF(A365&gt;$B$6*12,"",C365-D365)</f>
        <v/>
      </c>
      <c r="F365" s="20">
        <f>IF(A365&gt;$B$6*12,"",B365-E365)</f>
        <v/>
      </c>
    </row>
    <row r="366">
      <c r="A366" s="2" t="n">
        <v>356</v>
      </c>
      <c r="B366" s="20">
        <f>IF(A366&gt;$B$6*12,"",F365)</f>
        <v/>
      </c>
      <c r="C366" s="20">
        <f>IF(A366&gt;$B$6*12,"",$B$7)</f>
        <v/>
      </c>
      <c r="D366" s="20">
        <f>IF(A366&gt;$B$6*12,"",B366*$B$5/12)</f>
        <v/>
      </c>
      <c r="E366" s="20">
        <f>IF(A366&gt;$B$6*12,"",C366-D366)</f>
        <v/>
      </c>
      <c r="F366" s="20">
        <f>IF(A366&gt;$B$6*12,"",B366-E366)</f>
        <v/>
      </c>
    </row>
    <row r="367">
      <c r="A367" s="2" t="n">
        <v>357</v>
      </c>
      <c r="B367" s="20">
        <f>IF(A367&gt;$B$6*12,"",F366)</f>
        <v/>
      </c>
      <c r="C367" s="20">
        <f>IF(A367&gt;$B$6*12,"",$B$7)</f>
        <v/>
      </c>
      <c r="D367" s="20">
        <f>IF(A367&gt;$B$6*12,"",B367*$B$5/12)</f>
        <v/>
      </c>
      <c r="E367" s="20">
        <f>IF(A367&gt;$B$6*12,"",C367-D367)</f>
        <v/>
      </c>
      <c r="F367" s="20">
        <f>IF(A367&gt;$B$6*12,"",B367-E367)</f>
        <v/>
      </c>
    </row>
    <row r="368">
      <c r="A368" s="2" t="n">
        <v>358</v>
      </c>
      <c r="B368" s="20">
        <f>IF(A368&gt;$B$6*12,"",F367)</f>
        <v/>
      </c>
      <c r="C368" s="20">
        <f>IF(A368&gt;$B$6*12,"",$B$7)</f>
        <v/>
      </c>
      <c r="D368" s="20">
        <f>IF(A368&gt;$B$6*12,"",B368*$B$5/12)</f>
        <v/>
      </c>
      <c r="E368" s="20">
        <f>IF(A368&gt;$B$6*12,"",C368-D368)</f>
        <v/>
      </c>
      <c r="F368" s="20">
        <f>IF(A368&gt;$B$6*12,"",B368-E368)</f>
        <v/>
      </c>
    </row>
    <row r="369">
      <c r="A369" s="2" t="n">
        <v>359</v>
      </c>
      <c r="B369" s="20">
        <f>IF(A369&gt;$B$6*12,"",F368)</f>
        <v/>
      </c>
      <c r="C369" s="20">
        <f>IF(A369&gt;$B$6*12,"",$B$7)</f>
        <v/>
      </c>
      <c r="D369" s="20">
        <f>IF(A369&gt;$B$6*12,"",B369*$B$5/12)</f>
        <v/>
      </c>
      <c r="E369" s="20">
        <f>IF(A369&gt;$B$6*12,"",C369-D369)</f>
        <v/>
      </c>
      <c r="F369" s="20">
        <f>IF(A369&gt;$B$6*12,"",B369-E369)</f>
        <v/>
      </c>
    </row>
    <row r="370">
      <c r="A370" s="2" t="n">
        <v>360</v>
      </c>
      <c r="B370" s="20">
        <f>IF(A370&gt;$B$6*12,"",F369)</f>
        <v/>
      </c>
      <c r="C370" s="20">
        <f>IF(A370&gt;$B$6*12,"",$B$7)</f>
        <v/>
      </c>
      <c r="D370" s="20">
        <f>IF(A370&gt;$B$6*12,"",B370*$B$5/12)</f>
        <v/>
      </c>
      <c r="E370" s="20">
        <f>IF(A370&gt;$B$6*12,"",C370-D370)</f>
        <v/>
      </c>
      <c r="F370" s="20">
        <f>IF(A370&gt;$B$6*12,"",B370-E370)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2026-09-25T22:04:40Z</dcterms:created>
  <dcterms:modified xsi:type="dcterms:W3CDTF">2026-09-25T22:04:40Z</dcterms:modified>
</cp:coreProperties>
</file>